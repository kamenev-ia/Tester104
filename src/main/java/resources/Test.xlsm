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filterPrivacy="1" codeName="ЭтаКнига" defaultThemeVersion="124226"/>
  <xr:revisionPtr revIDLastSave="0" documentId="13_ncr:1_{353157FC-5A8D-43B1-A04A-CB2A611115EE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Оборудование" sheetId="30" r:id="rId1"/>
    <sheet name="ТС" sheetId="26" r:id="rId2"/>
    <sheet name="ТИ" sheetId="31" r:id="rId3"/>
    <sheet name="ТУ" sheetId="32" r:id="rId4"/>
  </sheets>
  <functionGroups builtInGroupCount="19"/>
  <definedNames>
    <definedName name="_xlnm._FilterDatabase" localSheetId="2" hidden="1">ТИ!$A$1:$M$1</definedName>
    <definedName name="_xlnm._FilterDatabase" localSheetId="1" hidden="1">ТС!$A$1:$M$1</definedName>
    <definedName name="_xlnm._FilterDatabase" localSheetId="3" hidden="1">ТУ!$A$1:$I$1</definedName>
    <definedName name="Тест">ЯчейкиНомер&amp;ЯчейкиНазначение</definedName>
    <definedName name="ШкафыНаименование">Шкафы[Наименование]</definedName>
    <definedName name="ЯчейкиНазначение">Ячейки[Назначение]</definedName>
    <definedName name="ЯчейкиНаименование">Ячейки[Назначение]</definedName>
    <definedName name="ЯчейкиНомер">Ячейки[Номер]</definedName>
    <definedName name="ЯчейкиПолноеНаименование">"яч."&amp;ЯчейкиНомер&amp;" "&amp;ЯчейкиНаименование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2" i="32" l="1"/>
  <c r="G11" i="32"/>
  <c r="H28" i="31" l="1"/>
  <c r="H27" i="31"/>
  <c r="H26" i="31"/>
  <c r="H10" i="31"/>
  <c r="H9" i="31"/>
  <c r="H8" i="31"/>
  <c r="J99" i="26"/>
  <c r="J98" i="26"/>
  <c r="J96" i="26"/>
  <c r="J97" i="26"/>
  <c r="J95" i="26"/>
  <c r="J94" i="26"/>
  <c r="J93" i="26"/>
  <c r="J92" i="26"/>
  <c r="J91" i="26"/>
  <c r="J83" i="26"/>
  <c r="J84" i="26"/>
  <c r="J85" i="26"/>
  <c r="J86" i="26"/>
  <c r="J87" i="26"/>
  <c r="J88" i="26"/>
  <c r="J89" i="26"/>
  <c r="J90" i="26"/>
  <c r="J82" i="26"/>
  <c r="J76" i="26"/>
  <c r="J75" i="26"/>
  <c r="J74" i="26"/>
  <c r="J71" i="26"/>
  <c r="J72" i="26"/>
  <c r="J73" i="26"/>
  <c r="J70" i="26"/>
  <c r="J69" i="26"/>
  <c r="J68" i="26"/>
  <c r="J67" i="26"/>
  <c r="J66" i="26"/>
  <c r="J61" i="26"/>
  <c r="J62" i="26"/>
  <c r="J63" i="26"/>
  <c r="J64" i="26"/>
  <c r="J65" i="26"/>
  <c r="J60" i="26"/>
  <c r="J55" i="26"/>
  <c r="J56" i="26"/>
  <c r="J57" i="26"/>
  <c r="J58" i="26"/>
  <c r="J59" i="26"/>
  <c r="J54" i="26"/>
  <c r="J49" i="26"/>
  <c r="J50" i="26"/>
  <c r="J51" i="26"/>
  <c r="J52" i="26"/>
  <c r="J53" i="26"/>
  <c r="J45" i="26"/>
  <c r="J46" i="26"/>
  <c r="J47" i="26"/>
  <c r="J44" i="26"/>
  <c r="J39" i="26"/>
  <c r="J40" i="26"/>
  <c r="J41" i="26"/>
  <c r="J42" i="26"/>
  <c r="J43" i="26"/>
  <c r="J38" i="26"/>
  <c r="J33" i="26"/>
  <c r="J34" i="26"/>
  <c r="J35" i="26"/>
  <c r="J36" i="26"/>
  <c r="J37" i="26"/>
  <c r="J32" i="26"/>
  <c r="J31" i="26"/>
  <c r="J30" i="26"/>
  <c r="J25" i="26"/>
  <c r="J26" i="26"/>
  <c r="J27" i="26"/>
  <c r="J28" i="26"/>
  <c r="J29" i="26"/>
  <c r="J24" i="26"/>
  <c r="J23" i="26"/>
  <c r="J22" i="26"/>
  <c r="J21" i="26"/>
  <c r="J20" i="26"/>
  <c r="J15" i="26"/>
  <c r="J16" i="26"/>
  <c r="J17" i="26"/>
  <c r="J18" i="26"/>
  <c r="J19" i="26"/>
  <c r="J11" i="26"/>
  <c r="J12" i="26"/>
  <c r="J13" i="26"/>
  <c r="J10" i="26"/>
  <c r="J9" i="26"/>
  <c r="J8" i="26"/>
  <c r="J7" i="26"/>
  <c r="J6" i="26"/>
  <c r="J5" i="26"/>
  <c r="J4" i="26"/>
  <c r="A47" i="30"/>
  <c r="A46" i="30"/>
  <c r="J2" i="26"/>
  <c r="J3" i="26"/>
  <c r="G6" i="32" l="1"/>
  <c r="G7" i="32"/>
  <c r="G8" i="32"/>
  <c r="G9" i="32"/>
  <c r="G10" i="32"/>
  <c r="A45" i="30"/>
  <c r="A44" i="30"/>
  <c r="A34" i="30" l="1"/>
  <c r="A35" i="30"/>
  <c r="A36" i="30"/>
  <c r="A37" i="30"/>
  <c r="A38" i="30"/>
  <c r="A39" i="30"/>
  <c r="A40" i="30"/>
  <c r="A41" i="30"/>
  <c r="A42" i="30"/>
  <c r="A43" i="30"/>
  <c r="G2" i="32"/>
  <c r="G3" i="32"/>
  <c r="G4" i="32"/>
  <c r="G5" i="32"/>
  <c r="H2" i="31"/>
  <c r="H3" i="31"/>
  <c r="H4" i="31"/>
  <c r="H5" i="31"/>
  <c r="H6" i="31"/>
  <c r="H7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</calcChain>
</file>

<file path=xl/sharedStrings.xml><?xml version="1.0" encoding="utf-8"?>
<sst xmlns="http://schemas.openxmlformats.org/spreadsheetml/2006/main" count="1226" uniqueCount="213">
  <si>
    <t>Присоединение</t>
  </si>
  <si>
    <t>Инверсия</t>
  </si>
  <si>
    <t>Апертура</t>
  </si>
  <si>
    <t>Устройство</t>
  </si>
  <si>
    <t>Тип</t>
  </si>
  <si>
    <t>IOA</t>
  </si>
  <si>
    <t>Ед. изм.</t>
  </si>
  <si>
    <t>s/n</t>
  </si>
  <si>
    <t>Модули ТМ</t>
  </si>
  <si>
    <t>Место установки</t>
  </si>
  <si>
    <t>Протокол обмена</t>
  </si>
  <si>
    <t>Адрес</t>
  </si>
  <si>
    <t>Система</t>
  </si>
  <si>
    <t>Тип устройства</t>
  </si>
  <si>
    <t>Измерительные трансформаторы</t>
  </si>
  <si>
    <t>Фаза</t>
  </si>
  <si>
    <t>Коэффициент</t>
  </si>
  <si>
    <t>Каналы связи</t>
  </si>
  <si>
    <t>IP адрес</t>
  </si>
  <si>
    <t>Порт</t>
  </si>
  <si>
    <t>Модем</t>
  </si>
  <si>
    <t>Тип канала</t>
  </si>
  <si>
    <t>УСПД</t>
  </si>
  <si>
    <t>МИП</t>
  </si>
  <si>
    <t>Производитель</t>
  </si>
  <si>
    <t>РЭС</t>
  </si>
  <si>
    <t>Номер</t>
  </si>
  <si>
    <t>Объект</t>
  </si>
  <si>
    <t>-</t>
  </si>
  <si>
    <t>№</t>
  </si>
  <si>
    <t>Наименование устройства</t>
  </si>
  <si>
    <t xml:space="preserve">Сетевой адрес </t>
  </si>
  <si>
    <t>Диспетчерское наименование параметра</t>
  </si>
  <si>
    <t>Наименование параметра</t>
  </si>
  <si>
    <t>Тип 
ASDU</t>
  </si>
  <si>
    <t>яч.1</t>
  </si>
  <si>
    <t>яч.2</t>
  </si>
  <si>
    <t>Напряжение</t>
  </si>
  <si>
    <t>Адрес в канале</t>
  </si>
  <si>
    <t>Год ввода ТМ</t>
  </si>
  <si>
    <t>Ячейки</t>
  </si>
  <si>
    <t>Тип выключателя</t>
  </si>
  <si>
    <t>Тип ячейки</t>
  </si>
  <si>
    <t>Тип ASDU</t>
  </si>
  <si>
    <t>Коэффициент трансформации</t>
  </si>
  <si>
    <t>IP адрес LAN</t>
  </si>
  <si>
    <t>LAN1</t>
  </si>
  <si>
    <t>LAN2</t>
  </si>
  <si>
    <t>Тип управления</t>
  </si>
  <si>
    <t>Назначение</t>
  </si>
  <si>
    <t xml:space="preserve"> </t>
  </si>
  <si>
    <t>Наименование</t>
  </si>
  <si>
    <t>Полное наименование</t>
  </si>
  <si>
    <t>Шкафы</t>
  </si>
  <si>
    <t xml:space="preserve">  </t>
  </si>
  <si>
    <t xml:space="preserve">   </t>
  </si>
  <si>
    <t>Назначение/Присоединение</t>
  </si>
  <si>
    <t>Камера (Шкаф)</t>
  </si>
  <si>
    <t>Отметка о приеме</t>
  </si>
  <si>
    <t>Отметка о 
приеме</t>
  </si>
  <si>
    <t>Информационная безопасность</t>
  </si>
  <si>
    <t>Дискретный вход
(Цифровой канал -Ц)</t>
  </si>
  <si>
    <t>Сторонние системы (участвующие в обмене информацией по цифровым протоколам)</t>
  </si>
  <si>
    <t>Адрес в канале
(Откл/Вкл)</t>
  </si>
  <si>
    <t>яч.4</t>
  </si>
  <si>
    <t>яч.5</t>
  </si>
  <si>
    <t>яч.7</t>
  </si>
  <si>
    <t>яч.8</t>
  </si>
  <si>
    <t>яч.9</t>
  </si>
  <si>
    <t>яч.11</t>
  </si>
  <si>
    <t>яч.12</t>
  </si>
  <si>
    <t>Т-1</t>
  </si>
  <si>
    <t>Т-2</t>
  </si>
  <si>
    <t>В</t>
  </si>
  <si>
    <t>ЗН</t>
  </si>
  <si>
    <t>СР</t>
  </si>
  <si>
    <t>Выключатель</t>
  </si>
  <si>
    <t>ШВН-1</t>
  </si>
  <si>
    <t>ШВН-2</t>
  </si>
  <si>
    <t>Заземление</t>
  </si>
  <si>
    <t>Ia</t>
  </si>
  <si>
    <t>Ib</t>
  </si>
  <si>
    <t>Ic</t>
  </si>
  <si>
    <t>СВН</t>
  </si>
  <si>
    <t>Ua</t>
  </si>
  <si>
    <t>Ub</t>
  </si>
  <si>
    <t>Uc</t>
  </si>
  <si>
    <t>Вывод АВР</t>
  </si>
  <si>
    <t>ТУ В</t>
  </si>
  <si>
    <t>10.1.1.1</t>
  </si>
  <si>
    <t>RM-6</t>
  </si>
  <si>
    <t>Элегазовый ВН</t>
  </si>
  <si>
    <t>Элегазовый ВМ</t>
  </si>
  <si>
    <t>Встроенный</t>
  </si>
  <si>
    <t>GSM</t>
  </si>
  <si>
    <t xml:space="preserve">Прософт-Системы </t>
  </si>
  <si>
    <t>Flair 23DM</t>
  </si>
  <si>
    <t>РЗА</t>
  </si>
  <si>
    <t>Modbus</t>
  </si>
  <si>
    <t>VIP-410E</t>
  </si>
  <si>
    <t>АСКУЭ</t>
  </si>
  <si>
    <t>СЭТ-4ТМ - совместимый</t>
  </si>
  <si>
    <t>ШУ</t>
  </si>
  <si>
    <t>ОЛ Резерв</t>
  </si>
  <si>
    <t>ШР-1</t>
  </si>
  <si>
    <t>ШР-2</t>
  </si>
  <si>
    <t>DI1, DI2</t>
  </si>
  <si>
    <t>ВН</t>
  </si>
  <si>
    <t>DI3, DI4</t>
  </si>
  <si>
    <t>ШУАВР</t>
  </si>
  <si>
    <t>DPI(3,31)</t>
  </si>
  <si>
    <t>1c 0,4 кВ</t>
  </si>
  <si>
    <t>Pсумм.</t>
  </si>
  <si>
    <t>Qсумм.</t>
  </si>
  <si>
    <t>f</t>
  </si>
  <si>
    <t>2c 0,4 кВ</t>
  </si>
  <si>
    <t>MFI (13,36)</t>
  </si>
  <si>
    <t>А</t>
  </si>
  <si>
    <t>кВт</t>
  </si>
  <si>
    <t>кВар</t>
  </si>
  <si>
    <t>Гц</t>
  </si>
  <si>
    <t>3841</t>
  </si>
  <si>
    <t>Квитирование РЗА</t>
  </si>
  <si>
    <t>SCO (45)</t>
  </si>
  <si>
    <t>ТП</t>
  </si>
  <si>
    <t>1, 2</t>
  </si>
  <si>
    <t>3, 4</t>
  </si>
  <si>
    <t>5, 6</t>
  </si>
  <si>
    <t>7, 8</t>
  </si>
  <si>
    <t>ШТМ</t>
  </si>
  <si>
    <t>СЭТ-4ТМ</t>
  </si>
  <si>
    <t>ARIS 2808 С1.4</t>
  </si>
  <si>
    <t>Тип параметра</t>
  </si>
  <si>
    <t>Камера (Ячейка)</t>
  </si>
  <si>
    <t>Западный</t>
  </si>
  <si>
    <t>пр. Королева, д.46, к.4 лит.А</t>
  </si>
  <si>
    <t>10кВ</t>
  </si>
  <si>
    <t>ARIS 2814</t>
  </si>
  <si>
    <t>ARIS2814-A5.4-B5.4-E1.4-D1.4-D1.4-D1.4-D1.4-D1.4-C1.4-Z-Z-Z-Z-Z.P1000</t>
  </si>
  <si>
    <t>ТП 29755</t>
  </si>
  <si>
    <t>ТП 29674</t>
  </si>
  <si>
    <t>яч.13</t>
  </si>
  <si>
    <t>яч.14</t>
  </si>
  <si>
    <t>ТП 29759</t>
  </si>
  <si>
    <t>Яч. №1 ТП 29755</t>
  </si>
  <si>
    <t>яч.3 ОЛ Резерв</t>
  </si>
  <si>
    <t>яч.6 Т-1</t>
  </si>
  <si>
    <t>яч.8 СВН</t>
  </si>
  <si>
    <t>яч.9 Т-2</t>
  </si>
  <si>
    <t>яч.12 ОЛ Резерв</t>
  </si>
  <si>
    <t>яч.14 ТП 29759</t>
  </si>
  <si>
    <t>РУ 10/0,4 кВ</t>
  </si>
  <si>
    <t>ARIS 2814 D1.4 (1)</t>
  </si>
  <si>
    <t>Отсутствие напряжения ф.А</t>
  </si>
  <si>
    <t>Отсутствие напряжения ф.В</t>
  </si>
  <si>
    <t>Отсутствие напряжения ф.С</t>
  </si>
  <si>
    <t>АПТС</t>
  </si>
  <si>
    <t>Flair23DM</t>
  </si>
  <si>
    <t>Ц</t>
  </si>
  <si>
    <t>SPI(1,30)</t>
  </si>
  <si>
    <t>яч.3</t>
  </si>
  <si>
    <t>ВН ОЛ Резерв яч.3</t>
  </si>
  <si>
    <t>Срабатывание УТКЗ</t>
  </si>
  <si>
    <t>яч.6</t>
  </si>
  <si>
    <t>DI</t>
  </si>
  <si>
    <t>VIP410E</t>
  </si>
  <si>
    <t>Аварийное отключение</t>
  </si>
  <si>
    <t>Неисправность VIP410E</t>
  </si>
  <si>
    <t>МТЗ</t>
  </si>
  <si>
    <t>Неисправность расцепителя Mitop</t>
  </si>
  <si>
    <t>яч.10</t>
  </si>
  <si>
    <t>ВН ОЛ Резерв яч.12</t>
  </si>
  <si>
    <t>УВР-1</t>
  </si>
  <si>
    <t>Разъединитель</t>
  </si>
  <si>
    <t>В 0,4 кВ</t>
  </si>
  <si>
    <t>СР 0,4 кВ</t>
  </si>
  <si>
    <t>УВР-2</t>
  </si>
  <si>
    <t>DI1</t>
  </si>
  <si>
    <t>РУ</t>
  </si>
  <si>
    <t>ШУ-1</t>
  </si>
  <si>
    <t>ШУ-2</t>
  </si>
  <si>
    <t>Открытие дверей</t>
  </si>
  <si>
    <t>ОПС</t>
  </si>
  <si>
    <t>Срабатывание</t>
  </si>
  <si>
    <t>Неисправность</t>
  </si>
  <si>
    <t>АВР</t>
  </si>
  <si>
    <t>ШАВР</t>
  </si>
  <si>
    <t>ТУ блокировано</t>
  </si>
  <si>
    <t>АВР 1с выведено</t>
  </si>
  <si>
    <t>АВР 2с выведено</t>
  </si>
  <si>
    <t>АВР выведено по ТУ</t>
  </si>
  <si>
    <t>Срабатывание АВР</t>
  </si>
  <si>
    <t>ТУ блокировано ШАВР</t>
  </si>
  <si>
    <t>Отключен ввод</t>
  </si>
  <si>
    <t>Отсутствие напряжения на вводе</t>
  </si>
  <si>
    <t>Открытие двери</t>
  </si>
  <si>
    <t>ИБП готов</t>
  </si>
  <si>
    <t>Работа от батареи</t>
  </si>
  <si>
    <t>Требуется замена батареи</t>
  </si>
  <si>
    <t>СЭТ4ТМ</t>
  </si>
  <si>
    <t>Ввод-1 0,4 кВ</t>
  </si>
  <si>
    <t>Ввод-2 0,4 кВ</t>
  </si>
  <si>
    <t>Отсутствие связи Flair23DM</t>
  </si>
  <si>
    <t>Отсутствие связи VIP410E</t>
  </si>
  <si>
    <t>Отсутствие связи СЭТ4ТМ</t>
  </si>
  <si>
    <t>ТП 29764</t>
  </si>
  <si>
    <t>яч.13 ТП 29764</t>
  </si>
  <si>
    <t>яч.2 ТП 29674</t>
  </si>
  <si>
    <t>ОЛ Резерв яч.3</t>
  </si>
  <si>
    <t>DI5</t>
  </si>
  <si>
    <t>DI6</t>
  </si>
  <si>
    <t>Принято 2022-06-14</t>
  </si>
  <si>
    <t>Принято 2022-06-15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</si>
</sst>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132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horizontal="left" vertical="center" wrapText="1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1" xfId="2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 applyProtection="1">
      <alignment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" xfId="2" applyFont="1" applyFill="1" applyBorder="1" applyAlignment="1">
      <alignment horizontal="center" vertical="center" wrapText="1"/>
    </xf>
    <xf numFmtId="0" fontId="2" fillId="2" borderId="1" xfId="2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textRotation="90" wrapText="1"/>
    </xf>
    <xf numFmtId="0" fontId="5" fillId="0" borderId="10" xfId="0" applyFont="1" applyBorder="1"/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0" fillId="4" borderId="1" xfId="0" applyFill="1" applyBorder="1"/>
    <xf numFmtId="0" fontId="12" fillId="4" borderId="7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wrapText="1"/>
    </xf>
    <xf numFmtId="0" fontId="12" fillId="3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/>
    </xf>
    <xf numFmtId="0" fontId="19" fillId="3" borderId="1" xfId="0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17" fillId="5" borderId="1" xfId="0" applyFont="1" applyFill="1" applyBorder="1" applyAlignment="1">
      <alignment horizontal="center" vertical="center" wrapText="1"/>
    </xf>
    <xf numFmtId="49" fontId="2" fillId="5" borderId="1" xfId="0" applyNumberFormat="1" applyFont="1" applyFill="1" applyBorder="1" applyAlignment="1">
      <alignment horizontal="center" vertical="center" wrapText="1"/>
    </xf>
    <xf numFmtId="0" fontId="2" fillId="4" borderId="16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5" xfId="2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/>
    </xf>
    <xf numFmtId="0" fontId="6" fillId="0" borderId="17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textRotation="90" wrapText="1"/>
    </xf>
    <xf numFmtId="0" fontId="6" fillId="0" borderId="15" xfId="0" applyFont="1" applyBorder="1" applyAlignment="1">
      <alignment horizontal="center" vertical="center" textRotation="90" wrapText="1"/>
    </xf>
    <xf numFmtId="0" fontId="10" fillId="0" borderId="17" xfId="0" applyFont="1" applyBorder="1" applyAlignment="1">
      <alignment horizontal="center" vertical="center" textRotation="90" wrapText="1"/>
    </xf>
    <xf numFmtId="49" fontId="9" fillId="2" borderId="12" xfId="0" applyNumberFormat="1" applyFont="1" applyFill="1" applyBorder="1" applyAlignment="1">
      <alignment horizontal="center" vertical="center" wrapText="1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/>
    <xf numFmtId="0" fontId="21" fillId="4" borderId="1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 vertical="center" wrapText="1"/>
      <protection locked="0"/>
    </xf>
    <xf numFmtId="0" fontId="6" fillId="0" borderId="17" xfId="0" applyFont="1" applyBorder="1" applyAlignment="1" applyProtection="1">
      <alignment horizontal="center" vertical="center" textRotation="90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 applyProtection="1">
      <alignment horizontal="center" wrapText="1"/>
      <protection locked="0"/>
    </xf>
    <xf numFmtId="0" fontId="8" fillId="2" borderId="3" xfId="0" applyFont="1" applyFill="1" applyBorder="1" applyAlignment="1">
      <alignment horizontal="center" vertical="center" wrapText="1"/>
    </xf>
    <xf numFmtId="0" fontId="5" fillId="0" borderId="19" xfId="0" applyFont="1" applyBorder="1"/>
    <xf numFmtId="0" fontId="0" fillId="5" borderId="7" xfId="0" applyFill="1" applyBorder="1"/>
    <xf numFmtId="0" fontId="0" fillId="5" borderId="8" xfId="0" applyFill="1" applyBorder="1" applyAlignment="1">
      <alignment horizontal="left"/>
    </xf>
    <xf numFmtId="0" fontId="0" fillId="5" borderId="9" xfId="0" applyFill="1" applyBorder="1" applyAlignment="1">
      <alignment horizontal="center"/>
    </xf>
    <xf numFmtId="0" fontId="12" fillId="5" borderId="3" xfId="0" applyFont="1" applyFill="1" applyBorder="1" applyAlignment="1">
      <alignment horizontal="center" vertical="center"/>
    </xf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12" fillId="4" borderId="7" xfId="0" applyFont="1" applyFill="1" applyBorder="1"/>
    <xf numFmtId="0" fontId="12" fillId="4" borderId="8" xfId="0" applyFont="1" applyFill="1" applyBorder="1"/>
    <xf numFmtId="0" fontId="0" fillId="2" borderId="9" xfId="0" applyFill="1" applyBorder="1"/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2" fillId="4" borderId="8" xfId="2" applyFont="1" applyFill="1" applyBorder="1" applyAlignment="1">
      <alignment horizontal="center" vertical="center" wrapText="1"/>
    </xf>
    <xf numFmtId="0" fontId="0" fillId="4" borderId="8" xfId="0" applyFill="1" applyBorder="1" applyAlignment="1">
      <alignment wrapText="1"/>
    </xf>
    <xf numFmtId="0" fontId="0" fillId="2" borderId="9" xfId="0" applyFill="1" applyBorder="1" applyAlignment="1">
      <alignment horizontal="center" vertical="center"/>
    </xf>
    <xf numFmtId="0" fontId="0" fillId="5" borderId="2" xfId="0" applyFill="1" applyBorder="1"/>
    <xf numFmtId="0" fontId="0" fillId="5" borderId="3" xfId="0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wrapText="1"/>
    </xf>
    <xf numFmtId="0" fontId="18" fillId="5" borderId="8" xfId="0" applyFont="1" applyFill="1" applyBorder="1" applyAlignment="1">
      <alignment horizontal="left" vertical="center"/>
    </xf>
    <xf numFmtId="0" fontId="19" fillId="3" borderId="8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49" fontId="2" fillId="5" borderId="1" xfId="0" applyNumberFormat="1" applyFont="1" applyFill="1" applyBorder="1"/>
    <xf numFmtId="49" fontId="2" fillId="2" borderId="12" xfId="0" applyNumberFormat="1" applyFont="1" applyFill="1" applyBorder="1"/>
    <xf numFmtId="49" fontId="2" fillId="4" borderId="8" xfId="0" applyNumberFormat="1" applyFont="1" applyFill="1" applyBorder="1" applyAlignment="1">
      <alignment horizontal="left" vertical="center"/>
    </xf>
    <xf numFmtId="0" fontId="2" fillId="5" borderId="8" xfId="0" applyFont="1" applyFill="1" applyBorder="1" applyAlignment="1">
      <alignment horizontal="center" vertical="center" wrapText="1"/>
    </xf>
    <xf numFmtId="49" fontId="2" fillId="5" borderId="8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0" fontId="2" fillId="4" borderId="8" xfId="2" applyFont="1" applyFill="1" applyBorder="1" applyAlignment="1">
      <alignment horizontal="left" vertical="center" wrapText="1"/>
    </xf>
    <xf numFmtId="0" fontId="2" fillId="2" borderId="8" xfId="2" applyFont="1" applyFill="1" applyBorder="1" applyAlignment="1">
      <alignment horizontal="left" vertical="center" wrapText="1"/>
    </xf>
    <xf numFmtId="49" fontId="2" fillId="5" borderId="8" xfId="0" applyNumberFormat="1" applyFont="1" applyFill="1" applyBorder="1"/>
    <xf numFmtId="49" fontId="2" fillId="2" borderId="13" xfId="0" applyNumberFormat="1" applyFont="1" applyFill="1" applyBorder="1"/>
    <xf numFmtId="0" fontId="2" fillId="4" borderId="5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center" vertical="center" wrapText="1"/>
    </xf>
    <xf numFmtId="49" fontId="2" fillId="5" borderId="5" xfId="0" applyNumberFormat="1" applyFont="1" applyFill="1" applyBorder="1" applyAlignment="1">
      <alignment horizontal="center" vertical="center" wrapText="1"/>
    </xf>
    <xf numFmtId="0" fontId="2" fillId="4" borderId="5" xfId="2" applyFont="1" applyFill="1" applyBorder="1" applyAlignment="1">
      <alignment horizontal="center" vertical="center" wrapText="1"/>
    </xf>
    <xf numFmtId="0" fontId="2" fillId="2" borderId="5" xfId="2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center" vertical="center" wrapText="1"/>
    </xf>
    <xf numFmtId="49" fontId="2" fillId="2" borderId="18" xfId="0" applyNumberFormat="1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49" fontId="6" fillId="0" borderId="21" xfId="0" applyNumberFormat="1" applyFont="1" applyBorder="1" applyAlignment="1">
      <alignment horizontal="center" vertical="center" textRotation="90" wrapText="1"/>
    </xf>
    <xf numFmtId="0" fontId="6" fillId="0" borderId="21" xfId="0" applyFont="1" applyBorder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10" fillId="0" borderId="23" xfId="0" applyFont="1" applyBorder="1" applyAlignment="1">
      <alignment horizontal="center" vertical="center" textRotation="90" wrapText="1"/>
    </xf>
    <xf numFmtId="0" fontId="13" fillId="2" borderId="1" xfId="0" applyFont="1" applyFill="1" applyBorder="1" applyAlignment="1" applyProtection="1">
      <alignment horizontal="center" vertical="center" wrapText="1"/>
      <protection locked="0"/>
    </xf>
  </cellXfs>
  <cellStyles count="3">
    <cellStyle name="Обычный" xfId="0" builtinId="0"/>
    <cellStyle name="Обычный 2" xfId="1" xr:uid="{00000000-0005-0000-0000-000001000000}"/>
    <cellStyle name="Обычный_11070" xfId="2" xr:uid="{00000000-0005-0000-0000-000002000000}"/>
  </cellStyles>
  <dxfs count="1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39997558519241921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auto="1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color rgb="FF000000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603250</xdr:colOff>
          <xdr:row>0</xdr:row>
          <xdr:rowOff>88900</xdr:rowOff>
        </xdr:from>
        <xdr:to>
          <xdr:col>8</xdr:col>
          <xdr:colOff>0</xdr:colOff>
          <xdr:row>2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БД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МодулиТМ" displayName="МодулиТМ" ref="A14:F15" totalsRowShown="0" headerRowDxfId="159" dataDxfId="157" headerRowBorderDxfId="158" tableBorderDxfId="156" totalsRowBorderDxfId="155">
  <autoFilter ref="A14:F15" xr:uid="{00000000-0009-0000-0100-000001000000}"/>
  <tableColumns count="6">
    <tableColumn id="1" xr3:uid="{00000000-0010-0000-0000-000001000000}" name="Место установки" dataDxfId="154"/>
    <tableColumn id="2" xr3:uid="{00000000-0010-0000-0000-000002000000}" name="Тип" dataDxfId="153"/>
    <tableColumn id="3" xr3:uid="{00000000-0010-0000-0000-000003000000}" name="Адрес" dataDxfId="152"/>
    <tableColumn id="4" xr3:uid="{00000000-0010-0000-0000-000004000000}" name="s/n" dataDxfId="151"/>
    <tableColumn id="5" xr3:uid="{00000000-0010-0000-0000-000005000000}" name="Протокол обмена" dataDxfId="150"/>
    <tableColumn id="6" xr3:uid="{00000000-0010-0000-0000-000006000000}" name="МИП" dataDxfId="14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СторонниеСистемы" displayName="СторонниеСистемы" ref="A17:F28" totalsRowShown="0" headerRowDxfId="148" dataDxfId="146" headerRowBorderDxfId="147" tableBorderDxfId="145" totalsRowBorderDxfId="144">
  <autoFilter ref="A17:F28" xr:uid="{00000000-0009-0000-0100-000002000000}"/>
  <tableColumns count="6">
    <tableColumn id="1" xr3:uid="{00000000-0010-0000-0100-000001000000}" name="Место установки" dataDxfId="143"/>
    <tableColumn id="2" xr3:uid="{00000000-0010-0000-0100-000002000000}" name="Тип устройства" dataDxfId="142"/>
    <tableColumn id="3" xr3:uid="{00000000-0010-0000-0100-000003000000}" name="Система" dataDxfId="141"/>
    <tableColumn id="4" xr3:uid="{00000000-0010-0000-0100-000004000000}" name="s/n" dataDxfId="140"/>
    <tableColumn id="5" xr3:uid="{00000000-0010-0000-0100-000005000000}" name="Протокол обмена" dataDxfId="139"/>
    <tableColumn id="6" xr3:uid="{00000000-0010-0000-0100-000006000000}" name="Адрес" dataDxfId="13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ИзмерительныеТрансформаторы" displayName="ИзмерительныеТрансформаторы" ref="A30:F31" insertRow="1" totalsRowShown="0" headerRowDxfId="137" headerRowBorderDxfId="136" tableBorderDxfId="135" totalsRowBorderDxfId="134">
  <autoFilter ref="A30:F31" xr:uid="{00000000-0009-0000-0100-000003000000}"/>
  <tableColumns count="6">
    <tableColumn id="1" xr3:uid="{00000000-0010-0000-0200-000001000000}" name="Место установки" dataDxfId="133"/>
    <tableColumn id="2" xr3:uid="{00000000-0010-0000-0200-000002000000}" name="Тип" dataDxfId="132"/>
    <tableColumn id="3" xr3:uid="{00000000-0010-0000-0200-000003000000}" name="Фаза" dataDxfId="131"/>
    <tableColumn id="4" xr3:uid="{00000000-0010-0000-0200-000004000000}" name="s/n" dataDxfId="130"/>
    <tableColumn id="5" xr3:uid="{00000000-0010-0000-0200-000005000000}" name="Коэффициент" dataDxfId="129"/>
    <tableColumn id="6" xr3:uid="{00000000-0010-0000-0200-000006000000}" name=" 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КаналыСвязи" displayName="КаналыСвязи" ref="A8:F9" totalsRowShown="0" headerRowDxfId="127" dataDxfId="125" headerRowBorderDxfId="126" tableBorderDxfId="124" totalsRowBorderDxfId="123">
  <autoFilter ref="A8:F9" xr:uid="{00000000-0009-0000-0100-000004000000}"/>
  <tableColumns count="6">
    <tableColumn id="1" xr3:uid="{00000000-0010-0000-0300-000001000000}" name="Модем" dataDxfId="122"/>
    <tableColumn id="2" xr3:uid="{00000000-0010-0000-0300-000002000000}" name="Тип канала" dataDxfId="121"/>
    <tableColumn id="3" xr3:uid="{00000000-0010-0000-0300-000003000000}" name="s/n" dataDxfId="120"/>
    <tableColumn id="4" xr3:uid="{00000000-0010-0000-0300-000004000000}" name="IP адрес LAN" dataDxfId="119"/>
    <tableColumn id="5" xr3:uid="{00000000-0010-0000-0300-000005000000}" name="IP адрес" dataDxfId="118"/>
    <tableColumn id="6" xr3:uid="{00000000-0010-0000-0300-000006000000}" name="Порт" dataDxfId="11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УСПД" displayName="УСПД" ref="A5:F6" totalsRowShown="0" headerRowDxfId="116" headerRowBorderDxfId="115" tableBorderDxfId="114" totalsRowBorderDxfId="113">
  <autoFilter ref="A5:F6" xr:uid="{00000000-0009-0000-0100-000005000000}"/>
  <tableColumns count="6">
    <tableColumn id="1" xr3:uid="{00000000-0010-0000-0400-000001000000}" name="Наименование" dataDxfId="112"/>
    <tableColumn id="2" xr3:uid="{00000000-0010-0000-0400-000002000000}" name="Тип" dataDxfId="111"/>
    <tableColumn id="3" xr3:uid="{00000000-0010-0000-0400-000003000000}" name="s/n" dataDxfId="110"/>
    <tableColumn id="4" xr3:uid="{00000000-0010-0000-0400-000004000000}" name="Производитель" dataDxfId="109"/>
    <tableColumn id="5" xr3:uid="{00000000-0010-0000-0400-000005000000}" name="LAN1" dataDxfId="108"/>
    <tableColumn id="6" xr3:uid="{00000000-0010-0000-0400-000006000000}" name="LAN2" dataDxfId="10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Объект" displayName="Объект" ref="A2:F3" headerRowDxfId="106" dataDxfId="104" totalsRowDxfId="102" headerRowBorderDxfId="105" tableBorderDxfId="103" totalsRowBorderDxfId="101">
  <autoFilter ref="A2:F3" xr:uid="{00000000-0009-0000-0100-000006000000}"/>
  <tableColumns count="6">
    <tableColumn id="1" xr3:uid="{00000000-0010-0000-0500-000001000000}" name="РЭС" totalsRowLabel="Итог" dataDxfId="100"/>
    <tableColumn id="2" xr3:uid="{00000000-0010-0000-0500-000002000000}" name="Тип" dataDxfId="99"/>
    <tableColumn id="3" xr3:uid="{00000000-0010-0000-0500-000003000000}" name="Номер" dataDxfId="98"/>
    <tableColumn id="4" xr3:uid="{00000000-0010-0000-0500-000004000000}" name="Адрес" dataDxfId="97"/>
    <tableColumn id="5" xr3:uid="{00000000-0010-0000-0500-000005000000}" name="Напряжение" dataDxfId="96"/>
    <tableColumn id="6" xr3:uid="{00000000-0010-0000-0500-000006000000}" name="Год ввода ТМ" totalsRowFunction="sum" dataDxfId="9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Ячейки" displayName="Ячейки" ref="A33:F47" totalsRowShown="0" headerRowDxfId="94" dataDxfId="92" headerRowBorderDxfId="93" tableBorderDxfId="91" totalsRowBorderDxfId="90">
  <autoFilter ref="A33:F47" xr:uid="{00000000-0009-0000-0100-000007000000}"/>
  <tableColumns count="6">
    <tableColumn id="7" xr3:uid="{00000000-0010-0000-0600-000007000000}" name="Полное наименование" dataDxfId="89">
      <calculatedColumnFormula>"яч."&amp;Ячейки[Номер]&amp;" "&amp;Ячейки[Назначение]</calculatedColumnFormula>
    </tableColumn>
    <tableColumn id="1" xr3:uid="{00000000-0010-0000-0600-000001000000}" name="Номер" dataDxfId="88" dataCellStyle="Обычный_11070"/>
    <tableColumn id="2" xr3:uid="{00000000-0010-0000-0600-000002000000}" name="Назначение" dataDxfId="87"/>
    <tableColumn id="3" xr3:uid="{00000000-0010-0000-0600-000003000000}" name="Тип ячейки" dataDxfId="86"/>
    <tableColumn id="4" xr3:uid="{00000000-0010-0000-0600-000004000000}" name="Тип выключателя" dataDxfId="85" totalsRowDxfId="84"/>
    <tableColumn id="5" xr3:uid="{00000000-0010-0000-0600-000005000000}" name=" " dataDxfId="8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ИнформационнаяБезопасность" displayName="ИнформационнаяБезопасность" ref="A11:F12" insertRow="1" totalsRowShown="0" headerRowDxfId="82" dataDxfId="80" headerRowBorderDxfId="81" tableBorderDxfId="79" totalsRowBorderDxfId="78">
  <autoFilter ref="A11:F12" xr:uid="{00000000-0009-0000-0100-00000C000000}"/>
  <tableColumns count="6">
    <tableColumn id="1" xr3:uid="{00000000-0010-0000-0700-000001000000}" name="Наименование" dataDxfId="77"/>
    <tableColumn id="2" xr3:uid="{00000000-0010-0000-0700-000002000000}" name="Тип" dataDxfId="76"/>
    <tableColumn id="3" xr3:uid="{00000000-0010-0000-0700-000003000000}" name="s/n" dataDxfId="75"/>
    <tableColumn id="4" xr3:uid="{00000000-0010-0000-0700-000004000000}" name=" " dataDxfId="74"/>
    <tableColumn id="5" xr3:uid="{00000000-0010-0000-0700-000005000000}" name="  " dataDxfId="73"/>
    <tableColumn id="6" xr3:uid="{00000000-0010-0000-0700-000006000000}" name="   " dataDxfId="7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Шкафы" displayName="Шкафы" ref="A49:F50" totalsRowShown="0" headerRowDxfId="71" dataDxfId="70" tableBorderDxfId="69">
  <autoFilter ref="A49:F50" xr:uid="{00000000-0009-0000-0100-000009000000}"/>
  <tableColumns count="6">
    <tableColumn id="1" xr3:uid="{00000000-0010-0000-0800-000001000000}" name="Наименование" dataDxfId="68"/>
    <tableColumn id="2" xr3:uid="{00000000-0010-0000-0800-000002000000}" name="Место установки" dataDxfId="67"/>
    <tableColumn id="3" xr3:uid="{00000000-0010-0000-0800-000003000000}" name="s/n" dataDxfId="66"/>
    <tableColumn id="4" xr3:uid="{00000000-0010-0000-0800-000004000000}" name=" " dataDxfId="65"/>
    <tableColumn id="5" xr3:uid="{00000000-0010-0000-0800-000005000000}" name="  " dataDxfId="64"/>
    <tableColumn id="6" xr3:uid="{00000000-0010-0000-0800-000006000000}" name="   " dataDxfId="6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ТС" displayName="ТС" ref="A1:N99" totalsRowShown="0" headerRowDxfId="62" dataDxfId="60" headerRowBorderDxfId="61" tableBorderDxfId="59" totalsRowBorderDxfId="58">
  <autoFilter ref="A1:N99" xr:uid="{00000000-0009-0000-0100-000008000000}"/>
  <tableColumns count="14">
    <tableColumn id="1" xr3:uid="{00000000-0010-0000-0900-000001000000}" name="№" dataDxfId="57"/>
    <tableColumn id="2" xr3:uid="{00000000-0010-0000-0900-000002000000}" name="Устройство" dataDxfId="56"/>
    <tableColumn id="3" xr3:uid="{00000000-0010-0000-0900-000003000000}" name="Сетевой адрес " dataDxfId="55"/>
    <tableColumn id="4" xr3:uid="{00000000-0010-0000-0900-000004000000}" name="Дискретный вход_x000a_(Цифровой канал -Ц)" dataDxfId="54"/>
    <tableColumn id="5" xr3:uid="{00000000-0010-0000-0900-000005000000}" name="Адрес в канале" dataDxfId="53"/>
    <tableColumn id="6" xr3:uid="{00000000-0010-0000-0900-000006000000}" name="Камера (Шкаф)" dataDxfId="52" dataCellStyle="Обычный_11070"/>
    <tableColumn id="7" xr3:uid="{00000000-0010-0000-0900-000007000000}" name="Назначение/Присоединение" dataDxfId="51"/>
    <tableColumn id="8" xr3:uid="{00000000-0010-0000-0900-000008000000}" name="Наименование параметра" dataDxfId="50" dataCellStyle="Обычный_11070"/>
    <tableColumn id="9" xr3:uid="{00000000-0010-0000-0900-000009000000}" name="Тип параметра" dataDxfId="49"/>
    <tableColumn id="10" xr3:uid="{00000000-0010-0000-0900-00000A000000}" name="Диспетчерское наименование параметра" dataDxfId="48" dataCellStyle="Обычный_11070">
      <calculatedColumnFormula>IF(I2="Выключатель",CONCATENATE(H2," ",G2),CONCATENATE(H2," ",F2))</calculatedColumnFormula>
    </tableColumn>
    <tableColumn id="11" xr3:uid="{00000000-0010-0000-0900-00000B000000}" name="IOA" dataDxfId="47"/>
    <tableColumn id="12" xr3:uid="{00000000-0010-0000-0900-00000C000000}" name="Тип _x000a_ASDU" dataDxfId="46"/>
    <tableColumn id="13" xr3:uid="{00000000-0010-0000-0900-00000D000000}" name="Инверсия" dataDxfId="45"/>
    <tableColumn id="14" xr3:uid="{00000000-0010-0000-0900-00000E000000}" name="Отметка о _x000a_приеме" dataDxfId="44"/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ТИ" displayName="ТИ" ref="A1:N46" totalsRowShown="0" headerRowDxfId="43" dataDxfId="41" headerRowBorderDxfId="42" tableBorderDxfId="40" totalsRowBorderDxfId="39">
  <autoFilter ref="A1:N46" xr:uid="{00000000-0009-0000-0100-00000A000000}"/>
  <tableColumns count="14">
    <tableColumn id="1" xr3:uid="{00000000-0010-0000-0A00-000001000000}" name="№" dataDxfId="38"/>
    <tableColumn id="2" xr3:uid="{00000000-0010-0000-0A00-000002000000}" name="Устройство" dataDxfId="37"/>
    <tableColumn id="3" xr3:uid="{00000000-0010-0000-0A00-000003000000}" name="Сетевой адрес " dataDxfId="36"/>
    <tableColumn id="4" xr3:uid="{00000000-0010-0000-0A00-000004000000}" name="Адрес в канале" dataDxfId="35"/>
    <tableColumn id="5" xr3:uid="{00000000-0010-0000-0A00-000005000000}" name="Камера (Ячейка)" dataDxfId="34"/>
    <tableColumn id="6" xr3:uid="{00000000-0010-0000-0A00-000006000000}" name="Присоединение" dataDxfId="33"/>
    <tableColumn id="7" xr3:uid="{00000000-0010-0000-0A00-000007000000}" name="Наименование параметра" dataDxfId="32"/>
    <tableColumn id="8" xr3:uid="{00000000-0010-0000-0A00-000008000000}" name="Диспетчерское наименование параметра" dataDxfId="31">
      <calculatedColumnFormula>CONCATENATE(G2," ",F2)</calculatedColumnFormula>
    </tableColumn>
    <tableColumn id="9" xr3:uid="{00000000-0010-0000-0A00-000009000000}" name="IOA" dataDxfId="30"/>
    <tableColumn id="10" xr3:uid="{00000000-0010-0000-0A00-00000A000000}" name="Тип ASDU" dataDxfId="29"/>
    <tableColumn id="11" xr3:uid="{00000000-0010-0000-0A00-00000B000000}" name="Ед. изм." dataDxfId="28"/>
    <tableColumn id="12" xr3:uid="{00000000-0010-0000-0A00-00000C000000}" name="Коэффициент трансформации" dataDxfId="27"/>
    <tableColumn id="13" xr3:uid="{00000000-0010-0000-0A00-00000D000000}" name="Апертура" dataDxfId="26"/>
    <tableColumn id="14" xr3:uid="{00000000-0010-0000-0A00-00000E000000}" name="Отметка о приеме" dataDxfId="25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ТУ" displayName="ТУ" ref="A1:J12" totalsRowShown="0" headerRowDxfId="24" dataDxfId="22" headerRowBorderDxfId="23" tableBorderDxfId="21" totalsRowBorderDxfId="20">
  <autoFilter ref="A1:J12" xr:uid="{00000000-0009-0000-0100-00000B000000}"/>
  <tableColumns count="10">
    <tableColumn id="1" xr3:uid="{00000000-0010-0000-0B00-000001000000}" name="№" dataDxfId="19" totalsRowDxfId="18"/>
    <tableColumn id="2" xr3:uid="{00000000-0010-0000-0B00-000002000000}" name="Наименование устройства" dataDxfId="17" totalsRowDxfId="16"/>
    <tableColumn id="3" xr3:uid="{00000000-0010-0000-0B00-000003000000}" name="Сетевой адрес " dataDxfId="15" totalsRowDxfId="14"/>
    <tableColumn id="4" xr3:uid="{00000000-0010-0000-0B00-000004000000}" name="Адрес в канале_x000a_(Откл/Вкл)" dataDxfId="13" totalsRowDxfId="12"/>
    <tableColumn id="5" xr3:uid="{00000000-0010-0000-0B00-000005000000}" name="Камера (Ячейка)" dataDxfId="11" totalsRowDxfId="10"/>
    <tableColumn id="7" xr3:uid="{00000000-0010-0000-0B00-000007000000}" name="Тип управления" dataDxfId="9" totalsRowDxfId="8"/>
    <tableColumn id="8" xr3:uid="{00000000-0010-0000-0B00-000008000000}" name="Диспетчерское наименование параметра" dataDxfId="7" totalsRowDxfId="6">
      <calculatedColumnFormula>IF(ТУ[[#This Row],[Тип управления]]="ТУ В",CONCATENATE(F2," ",E2),IF(ТУ[[#This Row],[Тип управления]]="Квитирование РЗА",CONCATENATE(F2," ",E2), ТУ[[#This Row],[Тип управления]]))</calculatedColumnFormula>
    </tableColumn>
    <tableColumn id="9" xr3:uid="{00000000-0010-0000-0B00-000009000000}" name="IOA" dataDxfId="5" totalsRowDxfId="4"/>
    <tableColumn id="10" xr3:uid="{00000000-0010-0000-0B00-00000A000000}" name="Тип ASDU" dataDxfId="3" totalsRowDxfId="2"/>
    <tableColumn id="11" xr3:uid="{00000000-0010-0000-0B00-00000B000000}" name="Отметка о приеме" dataDxfId="1" totalsRow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50"/>
  <sheetViews>
    <sheetView tabSelected="1" zoomScale="80" zoomScaleNormal="80" workbookViewId="0">
      <selection activeCell="H3" sqref="H3"/>
    </sheetView>
  </sheetViews>
  <sheetFormatPr defaultRowHeight="14.5" x14ac:dyDescent="0.35"/>
  <cols>
    <col min="1" max="1" width="44.81640625" customWidth="1"/>
    <col min="2" max="2" width="26.1796875" customWidth="1"/>
    <col min="3" max="3" width="45.81640625" style="5" customWidth="1"/>
    <col min="4" max="4" width="23.54296875" style="5" customWidth="1"/>
    <col min="5" max="5" width="22.26953125" style="5" bestFit="1" customWidth="1"/>
    <col min="6" max="6" width="18.1796875" customWidth="1"/>
    <col min="8" max="8" width="33.453125" bestFit="1" customWidth="1"/>
  </cols>
  <sheetData>
    <row r="1" spans="1:8" ht="15.5" x14ac:dyDescent="0.35">
      <c r="A1" s="23" t="s">
        <v>27</v>
      </c>
      <c r="B1" s="24"/>
      <c r="C1" s="25"/>
      <c r="D1" s="25"/>
      <c r="E1" s="25"/>
      <c r="F1" s="24"/>
      <c r="H1" s="6"/>
    </row>
    <row r="2" spans="1:8" ht="15" customHeight="1" x14ac:dyDescent="0.35">
      <c r="A2" s="26" t="s">
        <v>25</v>
      </c>
      <c r="B2" s="27" t="s">
        <v>4</v>
      </c>
      <c r="C2" s="27" t="s">
        <v>26</v>
      </c>
      <c r="D2" s="27" t="s">
        <v>11</v>
      </c>
      <c r="E2" s="27" t="s">
        <v>37</v>
      </c>
      <c r="F2" s="28" t="s">
        <v>39</v>
      </c>
      <c r="H2" s="6"/>
    </row>
    <row r="3" spans="1:8" x14ac:dyDescent="0.35">
      <c r="A3" s="8" t="s">
        <v>134</v>
      </c>
      <c r="B3" s="15" t="s">
        <v>124</v>
      </c>
      <c r="C3" s="15">
        <v>29756</v>
      </c>
      <c r="D3" s="15" t="s">
        <v>135</v>
      </c>
      <c r="E3" s="15" t="s">
        <v>136</v>
      </c>
      <c r="F3" s="16">
        <v>2022</v>
      </c>
      <c r="H3" s="6"/>
    </row>
    <row r="4" spans="1:8" ht="15.5" x14ac:dyDescent="0.35">
      <c r="A4" s="80" t="s">
        <v>22</v>
      </c>
      <c r="B4" s="6"/>
      <c r="C4" s="6"/>
      <c r="D4" s="6"/>
      <c r="E4" s="6"/>
      <c r="H4" s="6"/>
    </row>
    <row r="5" spans="1:8" x14ac:dyDescent="0.35">
      <c r="A5" s="26" t="s">
        <v>51</v>
      </c>
      <c r="B5" s="27" t="s">
        <v>4</v>
      </c>
      <c r="C5" s="27" t="s">
        <v>7</v>
      </c>
      <c r="D5" s="27" t="s">
        <v>24</v>
      </c>
      <c r="E5" s="27" t="s">
        <v>46</v>
      </c>
      <c r="F5" s="28" t="s">
        <v>47</v>
      </c>
    </row>
    <row r="6" spans="1:8" ht="43.5" x14ac:dyDescent="0.35">
      <c r="A6" s="51" t="s">
        <v>137</v>
      </c>
      <c r="B6" s="52" t="s">
        <v>138</v>
      </c>
      <c r="C6" s="29"/>
      <c r="D6" s="29" t="s">
        <v>95</v>
      </c>
      <c r="E6" s="29" t="s">
        <v>89</v>
      </c>
      <c r="F6" s="30"/>
    </row>
    <row r="7" spans="1:8" ht="15.5" x14ac:dyDescent="0.35">
      <c r="A7" s="80" t="s">
        <v>17</v>
      </c>
      <c r="B7" s="6"/>
      <c r="C7" s="6"/>
      <c r="D7" s="6"/>
      <c r="E7" s="6"/>
    </row>
    <row r="8" spans="1:8" x14ac:dyDescent="0.35">
      <c r="A8" s="26" t="s">
        <v>20</v>
      </c>
      <c r="B8" s="27" t="s">
        <v>21</v>
      </c>
      <c r="C8" s="27" t="s">
        <v>7</v>
      </c>
      <c r="D8" s="27" t="s">
        <v>45</v>
      </c>
      <c r="E8" s="27" t="s">
        <v>18</v>
      </c>
      <c r="F8" s="28" t="s">
        <v>19</v>
      </c>
    </row>
    <row r="9" spans="1:8" x14ac:dyDescent="0.35">
      <c r="A9" s="35" t="s">
        <v>93</v>
      </c>
      <c r="B9" s="33" t="s">
        <v>94</v>
      </c>
      <c r="C9" s="31" t="s">
        <v>28</v>
      </c>
      <c r="D9" s="31" t="s">
        <v>28</v>
      </c>
      <c r="E9" s="32"/>
      <c r="F9" s="34">
        <v>2404</v>
      </c>
    </row>
    <row r="10" spans="1:8" ht="15.5" x14ac:dyDescent="0.35">
      <c r="A10" s="80" t="s">
        <v>60</v>
      </c>
      <c r="B10" s="6"/>
      <c r="C10" s="6"/>
      <c r="D10" s="6"/>
      <c r="E10" s="6"/>
    </row>
    <row r="11" spans="1:8" x14ac:dyDescent="0.35">
      <c r="A11" s="38" t="s">
        <v>51</v>
      </c>
      <c r="B11" s="39" t="s">
        <v>4</v>
      </c>
      <c r="C11" s="40" t="s">
        <v>7</v>
      </c>
      <c r="D11" s="40" t="s">
        <v>50</v>
      </c>
      <c r="E11" s="40" t="s">
        <v>54</v>
      </c>
      <c r="F11" s="41" t="s">
        <v>55</v>
      </c>
    </row>
    <row r="12" spans="1:8" x14ac:dyDescent="0.35">
      <c r="A12" s="44"/>
      <c r="B12" s="45"/>
      <c r="C12" s="31"/>
      <c r="D12" s="42"/>
      <c r="E12" s="42"/>
      <c r="F12" s="43"/>
    </row>
    <row r="13" spans="1:8" ht="15.5" x14ac:dyDescent="0.35">
      <c r="A13" s="80" t="s">
        <v>8</v>
      </c>
      <c r="B13" s="6"/>
      <c r="C13" s="6"/>
      <c r="D13" s="6"/>
      <c r="E13" s="6"/>
    </row>
    <row r="14" spans="1:8" x14ac:dyDescent="0.35">
      <c r="A14" s="26" t="s">
        <v>9</v>
      </c>
      <c r="B14" s="27" t="s">
        <v>4</v>
      </c>
      <c r="C14" s="27" t="s">
        <v>11</v>
      </c>
      <c r="D14" s="27" t="s">
        <v>7</v>
      </c>
      <c r="E14" s="27" t="s">
        <v>10</v>
      </c>
      <c r="F14" s="28" t="s">
        <v>23</v>
      </c>
    </row>
    <row r="15" spans="1:8" x14ac:dyDescent="0.35">
      <c r="A15" s="81"/>
      <c r="B15" s="82"/>
      <c r="C15" s="31"/>
      <c r="D15" s="31"/>
      <c r="E15" s="31"/>
      <c r="F15" s="83"/>
    </row>
    <row r="16" spans="1:8" ht="15.5" x14ac:dyDescent="0.35">
      <c r="A16" s="80" t="s">
        <v>62</v>
      </c>
      <c r="B16" s="6"/>
      <c r="C16" s="6"/>
      <c r="D16" s="6"/>
      <c r="E16" s="6"/>
    </row>
    <row r="17" spans="1:6" x14ac:dyDescent="0.35">
      <c r="A17" s="26" t="s">
        <v>9</v>
      </c>
      <c r="B17" s="27" t="s">
        <v>13</v>
      </c>
      <c r="C17" s="27" t="s">
        <v>12</v>
      </c>
      <c r="D17" s="27" t="s">
        <v>7</v>
      </c>
      <c r="E17" s="27" t="s">
        <v>10</v>
      </c>
      <c r="F17" s="28" t="s">
        <v>11</v>
      </c>
    </row>
    <row r="18" spans="1:6" x14ac:dyDescent="0.35">
      <c r="A18" s="97" t="s">
        <v>144</v>
      </c>
      <c r="B18" s="37" t="s">
        <v>96</v>
      </c>
      <c r="C18" s="36" t="s">
        <v>97</v>
      </c>
      <c r="D18" s="53"/>
      <c r="E18" s="36" t="s">
        <v>98</v>
      </c>
      <c r="F18" s="98">
        <v>1</v>
      </c>
    </row>
    <row r="19" spans="1:6" x14ac:dyDescent="0.35">
      <c r="A19" s="97" t="s">
        <v>207</v>
      </c>
      <c r="B19" s="37" t="s">
        <v>96</v>
      </c>
      <c r="C19" s="36" t="s">
        <v>97</v>
      </c>
      <c r="D19" s="53"/>
      <c r="E19" s="36" t="s">
        <v>98</v>
      </c>
      <c r="F19" s="98">
        <v>2</v>
      </c>
    </row>
    <row r="20" spans="1:6" x14ac:dyDescent="0.35">
      <c r="A20" s="97" t="s">
        <v>145</v>
      </c>
      <c r="B20" s="37" t="s">
        <v>96</v>
      </c>
      <c r="C20" s="36" t="s">
        <v>97</v>
      </c>
      <c r="D20" s="53"/>
      <c r="E20" s="36" t="s">
        <v>98</v>
      </c>
      <c r="F20" s="99">
        <v>3</v>
      </c>
    </row>
    <row r="21" spans="1:6" x14ac:dyDescent="0.35">
      <c r="A21" s="97" t="s">
        <v>146</v>
      </c>
      <c r="B21" s="37" t="s">
        <v>99</v>
      </c>
      <c r="C21" s="36" t="s">
        <v>97</v>
      </c>
      <c r="D21" s="53"/>
      <c r="E21" s="36" t="s">
        <v>98</v>
      </c>
      <c r="F21" s="98">
        <v>6</v>
      </c>
    </row>
    <row r="22" spans="1:6" x14ac:dyDescent="0.35">
      <c r="A22" s="97" t="s">
        <v>147</v>
      </c>
      <c r="B22" s="37" t="s">
        <v>96</v>
      </c>
      <c r="C22" s="36" t="s">
        <v>97</v>
      </c>
      <c r="D22" s="53"/>
      <c r="E22" s="36" t="s">
        <v>98</v>
      </c>
      <c r="F22" s="98">
        <v>8</v>
      </c>
    </row>
    <row r="23" spans="1:6" x14ac:dyDescent="0.35">
      <c r="A23" s="97" t="s">
        <v>148</v>
      </c>
      <c r="B23" s="37" t="s">
        <v>99</v>
      </c>
      <c r="C23" s="36" t="s">
        <v>97</v>
      </c>
      <c r="D23" s="53"/>
      <c r="E23" s="36" t="s">
        <v>98</v>
      </c>
      <c r="F23" s="98">
        <v>9</v>
      </c>
    </row>
    <row r="24" spans="1:6" x14ac:dyDescent="0.35">
      <c r="A24" s="100" t="s">
        <v>149</v>
      </c>
      <c r="B24" s="37" t="s">
        <v>96</v>
      </c>
      <c r="C24" s="36" t="s">
        <v>97</v>
      </c>
      <c r="D24" s="53"/>
      <c r="E24" s="36" t="s">
        <v>98</v>
      </c>
      <c r="F24" s="98">
        <v>12</v>
      </c>
    </row>
    <row r="25" spans="1:6" x14ac:dyDescent="0.35">
      <c r="A25" s="97" t="s">
        <v>206</v>
      </c>
      <c r="B25" s="37" t="s">
        <v>96</v>
      </c>
      <c r="C25" s="36" t="s">
        <v>97</v>
      </c>
      <c r="D25" s="55"/>
      <c r="E25" s="36" t="s">
        <v>98</v>
      </c>
      <c r="F25" s="84">
        <v>13</v>
      </c>
    </row>
    <row r="26" spans="1:6" x14ac:dyDescent="0.35">
      <c r="A26" s="81" t="s">
        <v>150</v>
      </c>
      <c r="B26" s="37" t="s">
        <v>96</v>
      </c>
      <c r="C26" s="36" t="s">
        <v>97</v>
      </c>
      <c r="D26" s="102"/>
      <c r="E26" s="36" t="s">
        <v>98</v>
      </c>
      <c r="F26" s="30">
        <v>14</v>
      </c>
    </row>
    <row r="27" spans="1:6" x14ac:dyDescent="0.35">
      <c r="A27" s="97" t="s">
        <v>102</v>
      </c>
      <c r="B27" s="54" t="s">
        <v>130</v>
      </c>
      <c r="C27" s="36" t="s">
        <v>100</v>
      </c>
      <c r="D27" s="55"/>
      <c r="E27" s="56" t="s">
        <v>101</v>
      </c>
      <c r="F27" s="84"/>
    </row>
    <row r="28" spans="1:6" x14ac:dyDescent="0.35">
      <c r="A28" s="81" t="s">
        <v>102</v>
      </c>
      <c r="B28" s="101" t="s">
        <v>130</v>
      </c>
      <c r="C28" s="31" t="s">
        <v>100</v>
      </c>
      <c r="D28" s="102"/>
      <c r="E28" s="103" t="s">
        <v>101</v>
      </c>
      <c r="F28" s="30"/>
    </row>
    <row r="29" spans="1:6" ht="15.5" x14ac:dyDescent="0.35">
      <c r="A29" s="80" t="s">
        <v>14</v>
      </c>
      <c r="B29" s="6"/>
      <c r="C29" s="6"/>
      <c r="D29" s="6"/>
      <c r="E29" s="6"/>
    </row>
    <row r="30" spans="1:6" x14ac:dyDescent="0.35">
      <c r="A30" s="26" t="s">
        <v>9</v>
      </c>
      <c r="B30" s="27" t="s">
        <v>4</v>
      </c>
      <c r="C30" s="27" t="s">
        <v>15</v>
      </c>
      <c r="D30" s="27" t="s">
        <v>7</v>
      </c>
      <c r="E30" s="105" t="s">
        <v>16</v>
      </c>
      <c r="F30" s="104" t="s">
        <v>50</v>
      </c>
    </row>
    <row r="31" spans="1:6" x14ac:dyDescent="0.35">
      <c r="A31" s="97"/>
      <c r="B31" s="57"/>
      <c r="C31" s="36"/>
      <c r="D31" s="58"/>
      <c r="E31" s="106"/>
      <c r="F31" s="104"/>
    </row>
    <row r="32" spans="1:6" ht="15.5" x14ac:dyDescent="0.35">
      <c r="A32" s="80" t="s">
        <v>40</v>
      </c>
    </row>
    <row r="33" spans="1:6" x14ac:dyDescent="0.35">
      <c r="A33" s="26" t="s">
        <v>52</v>
      </c>
      <c r="B33" s="86" t="s">
        <v>26</v>
      </c>
      <c r="C33" s="86" t="s">
        <v>49</v>
      </c>
      <c r="D33" s="27" t="s">
        <v>42</v>
      </c>
      <c r="E33" s="27" t="s">
        <v>41</v>
      </c>
      <c r="F33" s="28" t="s">
        <v>50</v>
      </c>
    </row>
    <row r="34" spans="1:6" x14ac:dyDescent="0.35">
      <c r="A34" s="91" t="str">
        <f>"яч."&amp;Ячейки[Номер]&amp;" "&amp;Ячейки[Назначение]</f>
        <v>яч.1 ТП 29755</v>
      </c>
      <c r="B34" s="17">
        <v>1</v>
      </c>
      <c r="C34" s="50" t="s">
        <v>139</v>
      </c>
      <c r="D34" s="36" t="s">
        <v>90</v>
      </c>
      <c r="E34" s="36" t="s">
        <v>91</v>
      </c>
      <c r="F34" s="92"/>
    </row>
    <row r="35" spans="1:6" x14ac:dyDescent="0.35">
      <c r="A35" s="91" t="str">
        <f>"яч."&amp;Ячейки[Номер]&amp;" "&amp;Ячейки[Назначение]</f>
        <v>яч.2 ТП 29674</v>
      </c>
      <c r="B35" s="17">
        <v>2</v>
      </c>
      <c r="C35" s="50" t="s">
        <v>140</v>
      </c>
      <c r="D35" s="36" t="s">
        <v>90</v>
      </c>
      <c r="E35" s="36" t="s">
        <v>91</v>
      </c>
      <c r="F35" s="92"/>
    </row>
    <row r="36" spans="1:6" x14ac:dyDescent="0.35">
      <c r="A36" s="91" t="str">
        <f>"яч."&amp;Ячейки[Номер]&amp;" "&amp;Ячейки[Назначение]</f>
        <v>яч.3 ОЛ Резерв</v>
      </c>
      <c r="B36" s="17">
        <v>3</v>
      </c>
      <c r="C36" s="50" t="s">
        <v>103</v>
      </c>
      <c r="D36" s="36" t="s">
        <v>90</v>
      </c>
      <c r="E36" s="36" t="s">
        <v>91</v>
      </c>
      <c r="F36" s="92"/>
    </row>
    <row r="37" spans="1:6" x14ac:dyDescent="0.35">
      <c r="A37" s="91" t="str">
        <f>"яч."&amp;Ячейки[Номер]&amp;" "&amp;Ячейки[Назначение]</f>
        <v>яч.4 ШР-1</v>
      </c>
      <c r="B37" s="17">
        <v>4</v>
      </c>
      <c r="C37" s="50" t="s">
        <v>104</v>
      </c>
      <c r="D37" s="36" t="s">
        <v>90</v>
      </c>
      <c r="E37" s="36" t="s">
        <v>91</v>
      </c>
      <c r="F37" s="92"/>
    </row>
    <row r="38" spans="1:6" x14ac:dyDescent="0.35">
      <c r="A38" s="91" t="str">
        <f>"яч."&amp;Ячейки[Номер]&amp;" "&amp;Ячейки[Назначение]</f>
        <v>яч.5 ШВН-1</v>
      </c>
      <c r="B38" s="17">
        <v>5</v>
      </c>
      <c r="C38" s="50" t="s">
        <v>77</v>
      </c>
      <c r="D38" s="36" t="s">
        <v>90</v>
      </c>
      <c r="E38" s="36" t="s">
        <v>91</v>
      </c>
      <c r="F38" s="92"/>
    </row>
    <row r="39" spans="1:6" x14ac:dyDescent="0.35">
      <c r="A39" s="91" t="str">
        <f>"яч."&amp;Ячейки[Номер]&amp;" "&amp;Ячейки[Назначение]</f>
        <v>яч.6 Т-1</v>
      </c>
      <c r="B39" s="46">
        <v>6</v>
      </c>
      <c r="C39" s="50" t="s">
        <v>71</v>
      </c>
      <c r="D39" s="36" t="s">
        <v>90</v>
      </c>
      <c r="E39" s="36" t="s">
        <v>92</v>
      </c>
      <c r="F39" s="92"/>
    </row>
    <row r="40" spans="1:6" x14ac:dyDescent="0.35">
      <c r="A40" s="91" t="str">
        <f>"яч."&amp;Ячейки[Номер]&amp;" "&amp;Ячейки[Назначение]</f>
        <v>яч.7 СР</v>
      </c>
      <c r="B40" s="46">
        <v>7</v>
      </c>
      <c r="C40" s="50" t="s">
        <v>75</v>
      </c>
      <c r="D40" s="36" t="s">
        <v>90</v>
      </c>
      <c r="E40" s="36" t="s">
        <v>91</v>
      </c>
      <c r="F40" s="92"/>
    </row>
    <row r="41" spans="1:6" x14ac:dyDescent="0.35">
      <c r="A41" s="91" t="str">
        <f>"яч."&amp;Ячейки[Номер]&amp;" "&amp;Ячейки[Назначение]</f>
        <v>яч.8 СВН</v>
      </c>
      <c r="B41" s="46">
        <v>8</v>
      </c>
      <c r="C41" s="50" t="s">
        <v>83</v>
      </c>
      <c r="D41" s="36" t="s">
        <v>90</v>
      </c>
      <c r="E41" s="36" t="s">
        <v>91</v>
      </c>
      <c r="F41" s="92"/>
    </row>
    <row r="42" spans="1:6" x14ac:dyDescent="0.35">
      <c r="A42" s="91" t="str">
        <f>"яч."&amp;Ячейки[Номер]&amp;" "&amp;Ячейки[Назначение]</f>
        <v>яч.9 Т-2</v>
      </c>
      <c r="B42" s="46">
        <v>9</v>
      </c>
      <c r="C42" s="50" t="s">
        <v>72</v>
      </c>
      <c r="D42" s="36" t="s">
        <v>90</v>
      </c>
      <c r="E42" s="36" t="s">
        <v>92</v>
      </c>
      <c r="F42" s="92"/>
    </row>
    <row r="43" spans="1:6" ht="18" customHeight="1" x14ac:dyDescent="0.35">
      <c r="A43" s="91" t="str">
        <f>"яч."&amp;Ячейки[Номер]&amp;" "&amp;Ячейки[Назначение]</f>
        <v>яч.10 ШВН-2</v>
      </c>
      <c r="B43" s="46">
        <v>10</v>
      </c>
      <c r="C43" s="50" t="s">
        <v>78</v>
      </c>
      <c r="D43" s="36" t="s">
        <v>90</v>
      </c>
      <c r="E43" s="36" t="s">
        <v>91</v>
      </c>
      <c r="F43" s="92"/>
    </row>
    <row r="44" spans="1:6" x14ac:dyDescent="0.35">
      <c r="A44" s="91" t="str">
        <f>"яч."&amp;Ячейки[Номер]&amp;" "&amp;Ячейки[Назначение]</f>
        <v>яч.11 ШР-2</v>
      </c>
      <c r="B44" s="17">
        <v>11</v>
      </c>
      <c r="C44" s="50" t="s">
        <v>105</v>
      </c>
      <c r="D44" s="36" t="s">
        <v>90</v>
      </c>
      <c r="E44" s="36" t="s">
        <v>91</v>
      </c>
      <c r="F44" s="92"/>
    </row>
    <row r="45" spans="1:6" x14ac:dyDescent="0.35">
      <c r="A45" s="93" t="str">
        <f>"яч."&amp;Ячейки[Номер]&amp;" "&amp;Ячейки[Назначение]</f>
        <v>яч.12 ОЛ Резерв</v>
      </c>
      <c r="B45" s="94">
        <v>12</v>
      </c>
      <c r="C45" s="95" t="s">
        <v>103</v>
      </c>
      <c r="D45" s="31" t="s">
        <v>90</v>
      </c>
      <c r="E45" s="31" t="s">
        <v>91</v>
      </c>
      <c r="F45" s="96"/>
    </row>
    <row r="46" spans="1:6" x14ac:dyDescent="0.35">
      <c r="A46" s="91" t="str">
        <f>"яч."&amp;Ячейки[Номер]&amp;" "&amp;Ячейки[Назначение]</f>
        <v>яч.13 ТП 29764</v>
      </c>
      <c r="B46" s="17">
        <v>13</v>
      </c>
      <c r="C46" s="107" t="s">
        <v>205</v>
      </c>
      <c r="D46" s="36" t="s">
        <v>90</v>
      </c>
      <c r="E46" s="31" t="s">
        <v>91</v>
      </c>
      <c r="F46" s="92"/>
    </row>
    <row r="47" spans="1:6" x14ac:dyDescent="0.35">
      <c r="A47" s="91" t="str">
        <f>"яч."&amp;Ячейки[Номер]&amp;" "&amp;Ячейки[Назначение]</f>
        <v>яч.14 ТП 29759</v>
      </c>
      <c r="B47" s="17">
        <v>14</v>
      </c>
      <c r="C47" s="107" t="s">
        <v>143</v>
      </c>
      <c r="D47" s="36" t="s">
        <v>90</v>
      </c>
      <c r="E47" s="31" t="s">
        <v>91</v>
      </c>
      <c r="F47" s="92"/>
    </row>
    <row r="48" spans="1:6" ht="15.5" x14ac:dyDescent="0.35">
      <c r="A48" s="80" t="s">
        <v>53</v>
      </c>
    </row>
    <row r="49" spans="1:6" x14ac:dyDescent="0.35">
      <c r="A49" s="85" t="s">
        <v>51</v>
      </c>
      <c r="B49" s="86" t="s">
        <v>9</v>
      </c>
      <c r="C49" s="27" t="s">
        <v>7</v>
      </c>
      <c r="D49" s="27" t="s">
        <v>50</v>
      </c>
      <c r="E49" s="27" t="s">
        <v>54</v>
      </c>
      <c r="F49" s="87" t="s">
        <v>55</v>
      </c>
    </row>
    <row r="50" spans="1:6" x14ac:dyDescent="0.35">
      <c r="A50" s="88" t="s">
        <v>129</v>
      </c>
      <c r="B50" s="89" t="s">
        <v>151</v>
      </c>
      <c r="C50" s="31"/>
      <c r="D50" s="42"/>
      <c r="E50" s="42"/>
      <c r="F50" s="90"/>
    </row>
  </sheetData>
  <dataValidations xWindow="985" yWindow="483" count="7">
    <dataValidation type="list" allowBlank="1" showDropDown="1" showInputMessage="1" showErrorMessage="1" errorTitle="Ошибка в значении" error="Если устройство является измерительным преобразователем, поставьте в поле знак &quot;+&quot;" sqref="F15" xr:uid="{00000000-0002-0000-0000-000000000000}">
      <formula1>"+"</formula1>
    </dataValidation>
    <dataValidation type="list" allowBlank="1" showInputMessage="1" showErrorMessage="1" sqref="A15 C34" xr:uid="{00000000-0002-0000-0000-000001000000}">
      <formula1>Тест</formula1>
    </dataValidation>
    <dataValidation type="list" allowBlank="1" showInputMessage="1" showErrorMessage="1" errorTitle="Некорректный протокол" error="Введите протокол из списка, либо оставьте поле пустым" sqref="E15" xr:uid="{00000000-0002-0000-0000-000002000000}">
      <formula1>"МЭК 60870-5-101,МЭК 60870-5-103,МЭК 60870-5-104,МЭК 61850,Modbus,"</formula1>
    </dataValidation>
    <dataValidation type="list" allowBlank="1" showInputMessage="1" showErrorMessage="1" error="Выберите стандартное значение номинального напряжения из списка" sqref="E3" xr:uid="{00000000-0002-0000-0000-000003000000}">
      <formula1>"6кВ,10кВ,6/10кВ,20кВ,35кВ"</formula1>
    </dataValidation>
    <dataValidation type="list" allowBlank="1" showInputMessage="1" showErrorMessage="1" errorTitle="Неверный тип выключателя" error="Выберите тип выключателя из списка" prompt="В ячейках без выключателя оставить поле пустым_x000a_" sqref="E34:E47" xr:uid="{00000000-0002-0000-0000-000004000000}">
      <formula1>"Вакуумный,Элегазовый ВН,Элегазовый ВМ,ВН,Масляный"</formula1>
    </dataValidation>
    <dataValidation allowBlank="1" showInputMessage="1" showErrorMessage="1" errorTitle="Неверный тип выключателя" error="Выберите тип выключателя из списка" sqref="D34:D47" xr:uid="{00000000-0002-0000-0000-000005000000}"/>
    <dataValidation type="list" allowBlank="1" showInputMessage="1" showErrorMessage="1" error="Выберите наименование района из предложенного списка" sqref="A3" xr:uid="{00000000-0002-0000-0000-000006000000}">
      <formula1>"Восточный,Западный,Невский,Островной,Правобережный,Северный,Центральный,Юго-Западный,Южный"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роверкаБДНаОшибки">
                <anchor moveWithCells="1" sizeWithCells="1">
                  <from>
                    <xdr:col>6</xdr:col>
                    <xdr:colOff>603250</xdr:colOff>
                    <xdr:row>0</xdr:row>
                    <xdr:rowOff>88900</xdr:rowOff>
                  </from>
                  <to>
                    <xdr:col>8</xdr:col>
                    <xdr:colOff>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N2135"/>
  <sheetViews>
    <sheetView topLeftCell="A79" zoomScale="85" zoomScaleNormal="85" workbookViewId="0"/>
  </sheetViews>
  <sheetFormatPr defaultColWidth="9.1796875" defaultRowHeight="13" x14ac:dyDescent="0.3"/>
  <cols>
    <col min="1" max="1" width="5.26953125" style="1" customWidth="1"/>
    <col min="2" max="2" width="17.54296875" style="1" customWidth="1"/>
    <col min="3" max="3" width="13.1796875" style="1" customWidth="1"/>
    <col min="4" max="4" width="11.1796875" style="1" customWidth="1"/>
    <col min="5" max="5" width="7.81640625" style="1" bestFit="1" customWidth="1"/>
    <col min="6" max="6" width="9.7265625" style="3" customWidth="1"/>
    <col min="7" max="7" width="30" style="3" bestFit="1" customWidth="1"/>
    <col min="8" max="8" width="29.1796875" style="4" customWidth="1"/>
    <col min="9" max="9" width="14.54296875" style="1" customWidth="1"/>
    <col min="10" max="10" width="40.81640625" style="1" bestFit="1" customWidth="1"/>
    <col min="11" max="11" width="8.81640625" style="3" bestFit="1" customWidth="1"/>
    <col min="12" max="12" width="10.453125" style="1" bestFit="1" customWidth="1"/>
    <col min="13" max="13" width="7.81640625" style="1" bestFit="1" customWidth="1"/>
    <col min="14" max="16384" width="9.1796875" style="1"/>
  </cols>
  <sheetData>
    <row r="1" spans="1:14" ht="112.5" customHeight="1" thickBot="1" x14ac:dyDescent="0.35">
      <c r="A1" s="125" t="s">
        <v>29</v>
      </c>
      <c r="B1" s="126" t="s">
        <v>3</v>
      </c>
      <c r="C1" s="127" t="s">
        <v>31</v>
      </c>
      <c r="D1" s="127" t="s">
        <v>61</v>
      </c>
      <c r="E1" s="127" t="s">
        <v>38</v>
      </c>
      <c r="F1" s="128" t="s">
        <v>57</v>
      </c>
      <c r="G1" s="126" t="s">
        <v>56</v>
      </c>
      <c r="H1" s="126" t="s">
        <v>33</v>
      </c>
      <c r="I1" s="126" t="s">
        <v>132</v>
      </c>
      <c r="J1" s="126" t="s">
        <v>32</v>
      </c>
      <c r="K1" s="126" t="s">
        <v>5</v>
      </c>
      <c r="L1" s="126" t="s">
        <v>34</v>
      </c>
      <c r="M1" s="129" t="s">
        <v>1</v>
      </c>
      <c r="N1" s="130" t="s">
        <v>59</v>
      </c>
    </row>
    <row r="2" spans="1:14" ht="39" x14ac:dyDescent="0.3">
      <c r="A2" s="60">
        <v>1</v>
      </c>
      <c r="B2" s="118" t="s">
        <v>152</v>
      </c>
      <c r="C2" s="119"/>
      <c r="D2" s="61" t="s">
        <v>106</v>
      </c>
      <c r="E2" s="120"/>
      <c r="F2" s="121" t="s">
        <v>35</v>
      </c>
      <c r="G2" s="61" t="s">
        <v>139</v>
      </c>
      <c r="H2" s="62" t="s">
        <v>107</v>
      </c>
      <c r="I2" s="61" t="s">
        <v>76</v>
      </c>
      <c r="J2" s="122" t="str">
        <f t="shared" ref="J2:J3" si="0">IF(I2="Выключатель",CONCATENATE(H2," ",G2),CONCATENATE(H2," ",F2))</f>
        <v>ВН ТП 29755</v>
      </c>
      <c r="K2" s="61">
        <v>101</v>
      </c>
      <c r="L2" s="61" t="s">
        <v>110</v>
      </c>
      <c r="M2" s="123"/>
      <c r="N2" s="124" t="s">
        <v>212</v>
      </c>
    </row>
    <row r="3" spans="1:14" ht="39" x14ac:dyDescent="0.3">
      <c r="A3" s="60">
        <v>2</v>
      </c>
      <c r="B3" s="118" t="s">
        <v>152</v>
      </c>
      <c r="C3" s="10"/>
      <c r="D3" s="11" t="s">
        <v>108</v>
      </c>
      <c r="E3" s="59"/>
      <c r="F3" s="121" t="s">
        <v>35</v>
      </c>
      <c r="G3" s="11" t="s">
        <v>139</v>
      </c>
      <c r="H3" s="9" t="s">
        <v>74</v>
      </c>
      <c r="I3" s="11" t="s">
        <v>79</v>
      </c>
      <c r="J3" s="18" t="str">
        <f t="shared" si="0"/>
        <v>ЗН яч.1</v>
      </c>
      <c r="K3" s="61">
        <v>102</v>
      </c>
      <c r="L3" s="11" t="s">
        <v>110</v>
      </c>
      <c r="M3" s="12"/>
      <c r="N3" s="68" t="s">
        <v>212</v>
      </c>
    </row>
    <row r="4" spans="1:14" x14ac:dyDescent="0.3">
      <c r="A4" s="60">
        <v>3</v>
      </c>
      <c r="B4" s="110" t="s">
        <v>157</v>
      </c>
      <c r="C4" s="111">
        <v>1</v>
      </c>
      <c r="D4" s="15" t="s">
        <v>158</v>
      </c>
      <c r="E4" s="112"/>
      <c r="F4" s="121" t="s">
        <v>35</v>
      </c>
      <c r="G4" s="11" t="s">
        <v>139</v>
      </c>
      <c r="H4" s="114" t="s">
        <v>153</v>
      </c>
      <c r="I4" s="113" t="s">
        <v>156</v>
      </c>
      <c r="J4" s="115" t="str">
        <f t="shared" ref="J4:J10" si="1">IF(I4="Выключатель",CONCATENATE(H4," ",G4),CONCATENATE(H4," ",F4))</f>
        <v>Отсутствие напряжения ф.А яч.1</v>
      </c>
      <c r="K4" s="61">
        <v>103</v>
      </c>
      <c r="L4" s="113" t="s">
        <v>159</v>
      </c>
      <c r="M4" s="116"/>
      <c r="N4" s="117" t="s">
        <v>212</v>
      </c>
    </row>
    <row r="5" spans="1:14" x14ac:dyDescent="0.3">
      <c r="A5" s="60">
        <v>4</v>
      </c>
      <c r="B5" s="110" t="s">
        <v>157</v>
      </c>
      <c r="C5" s="111">
        <v>1</v>
      </c>
      <c r="D5" s="15" t="s">
        <v>158</v>
      </c>
      <c r="E5" s="112"/>
      <c r="F5" s="121" t="s">
        <v>35</v>
      </c>
      <c r="G5" s="11" t="s">
        <v>139</v>
      </c>
      <c r="H5" s="114" t="s">
        <v>154</v>
      </c>
      <c r="I5" s="113" t="s">
        <v>156</v>
      </c>
      <c r="J5" s="115" t="str">
        <f t="shared" si="1"/>
        <v>Отсутствие напряжения ф.В яч.1</v>
      </c>
      <c r="K5" s="61">
        <v>104</v>
      </c>
      <c r="L5" s="113" t="s">
        <v>159</v>
      </c>
      <c r="M5" s="116"/>
      <c r="N5" s="117" t="s">
        <v>212</v>
      </c>
    </row>
    <row r="6" spans="1:14" x14ac:dyDescent="0.3">
      <c r="A6" s="60">
        <v>5</v>
      </c>
      <c r="B6" s="110" t="s">
        <v>157</v>
      </c>
      <c r="C6" s="111">
        <v>1</v>
      </c>
      <c r="D6" s="15" t="s">
        <v>158</v>
      </c>
      <c r="E6" s="112"/>
      <c r="F6" s="121" t="s">
        <v>35</v>
      </c>
      <c r="G6" s="11" t="s">
        <v>139</v>
      </c>
      <c r="H6" s="114" t="s">
        <v>155</v>
      </c>
      <c r="I6" s="113" t="s">
        <v>156</v>
      </c>
      <c r="J6" s="115" t="str">
        <f t="shared" si="1"/>
        <v>Отсутствие напряжения ф.С яч.1</v>
      </c>
      <c r="K6" s="61">
        <v>105</v>
      </c>
      <c r="L6" s="113" t="s">
        <v>159</v>
      </c>
      <c r="M6" s="116"/>
      <c r="N6" s="117" t="s">
        <v>212</v>
      </c>
    </row>
    <row r="7" spans="1:14" x14ac:dyDescent="0.3">
      <c r="A7" s="60">
        <v>6</v>
      </c>
      <c r="B7" s="110" t="s">
        <v>157</v>
      </c>
      <c r="C7" s="111">
        <v>1</v>
      </c>
      <c r="D7" s="15" t="s">
        <v>158</v>
      </c>
      <c r="E7" s="112"/>
      <c r="F7" s="121" t="s">
        <v>35</v>
      </c>
      <c r="G7" s="11" t="s">
        <v>139</v>
      </c>
      <c r="H7" s="114" t="s">
        <v>162</v>
      </c>
      <c r="I7" s="113" t="s">
        <v>156</v>
      </c>
      <c r="J7" s="115" t="str">
        <f t="shared" si="1"/>
        <v>Срабатывание УТКЗ яч.1</v>
      </c>
      <c r="K7" s="61">
        <v>106</v>
      </c>
      <c r="L7" s="113" t="s">
        <v>159</v>
      </c>
      <c r="M7" s="116"/>
      <c r="N7" s="117"/>
    </row>
    <row r="8" spans="1:14" x14ac:dyDescent="0.3">
      <c r="A8" s="60">
        <v>7</v>
      </c>
      <c r="B8" s="118" t="s">
        <v>152</v>
      </c>
      <c r="C8" s="119"/>
      <c r="D8" s="61" t="s">
        <v>106</v>
      </c>
      <c r="E8" s="120"/>
      <c r="F8" s="121" t="s">
        <v>36</v>
      </c>
      <c r="G8" s="61" t="s">
        <v>140</v>
      </c>
      <c r="H8" s="62" t="s">
        <v>107</v>
      </c>
      <c r="I8" s="61" t="s">
        <v>76</v>
      </c>
      <c r="J8" s="115" t="str">
        <f t="shared" si="1"/>
        <v>ВН ТП 29674</v>
      </c>
      <c r="K8" s="61">
        <v>107</v>
      </c>
      <c r="L8" s="61" t="s">
        <v>110</v>
      </c>
      <c r="M8" s="116"/>
      <c r="N8" s="117"/>
    </row>
    <row r="9" spans="1:14" x14ac:dyDescent="0.3">
      <c r="A9" s="60">
        <v>8</v>
      </c>
      <c r="B9" s="118" t="s">
        <v>152</v>
      </c>
      <c r="C9" s="10"/>
      <c r="D9" s="11" t="s">
        <v>108</v>
      </c>
      <c r="E9" s="59"/>
      <c r="F9" s="121" t="s">
        <v>36</v>
      </c>
      <c r="G9" s="61" t="s">
        <v>140</v>
      </c>
      <c r="H9" s="9" t="s">
        <v>74</v>
      </c>
      <c r="I9" s="11" t="s">
        <v>79</v>
      </c>
      <c r="J9" s="115" t="str">
        <f t="shared" si="1"/>
        <v>ЗН яч.2</v>
      </c>
      <c r="K9" s="61">
        <v>108</v>
      </c>
      <c r="L9" s="11" t="s">
        <v>110</v>
      </c>
      <c r="M9" s="116"/>
      <c r="N9" s="117"/>
    </row>
    <row r="10" spans="1:14" ht="16.5" customHeight="1" x14ac:dyDescent="0.3">
      <c r="A10" s="60">
        <v>9</v>
      </c>
      <c r="B10" s="110" t="s">
        <v>157</v>
      </c>
      <c r="C10" s="111">
        <v>2</v>
      </c>
      <c r="D10" s="15" t="s">
        <v>158</v>
      </c>
      <c r="E10" s="112"/>
      <c r="F10" s="121" t="s">
        <v>36</v>
      </c>
      <c r="G10" s="61" t="s">
        <v>140</v>
      </c>
      <c r="H10" s="114" t="s">
        <v>153</v>
      </c>
      <c r="I10" s="113" t="s">
        <v>156</v>
      </c>
      <c r="J10" s="115" t="str">
        <f t="shared" si="1"/>
        <v>Отсутствие напряжения ф.А яч.2</v>
      </c>
      <c r="K10" s="61">
        <v>109</v>
      </c>
      <c r="L10" s="113" t="s">
        <v>159</v>
      </c>
      <c r="M10" s="116"/>
      <c r="N10" s="117"/>
    </row>
    <row r="11" spans="1:14" x14ac:dyDescent="0.3">
      <c r="A11" s="60">
        <v>10</v>
      </c>
      <c r="B11" s="110" t="s">
        <v>157</v>
      </c>
      <c r="C11" s="111">
        <v>2</v>
      </c>
      <c r="D11" s="15" t="s">
        <v>158</v>
      </c>
      <c r="E11" s="112"/>
      <c r="F11" s="121" t="s">
        <v>36</v>
      </c>
      <c r="G11" s="61" t="s">
        <v>140</v>
      </c>
      <c r="H11" s="114" t="s">
        <v>154</v>
      </c>
      <c r="I11" s="113" t="s">
        <v>156</v>
      </c>
      <c r="J11" s="18" t="str">
        <f t="shared" ref="J11:J13" si="2">IF(I11="Выключатель",CONCATENATE(H11," ",G11),CONCATENATE(H11," ",F11))</f>
        <v>Отсутствие напряжения ф.В яч.2</v>
      </c>
      <c r="K11" s="61">
        <v>110</v>
      </c>
      <c r="L11" s="113" t="s">
        <v>159</v>
      </c>
      <c r="M11" s="108"/>
      <c r="N11" s="109"/>
    </row>
    <row r="12" spans="1:14" x14ac:dyDescent="0.3">
      <c r="A12" s="60">
        <v>11</v>
      </c>
      <c r="B12" s="110" t="s">
        <v>157</v>
      </c>
      <c r="C12" s="111">
        <v>2</v>
      </c>
      <c r="D12" s="15" t="s">
        <v>158</v>
      </c>
      <c r="E12" s="112"/>
      <c r="F12" s="121" t="s">
        <v>36</v>
      </c>
      <c r="G12" s="61" t="s">
        <v>140</v>
      </c>
      <c r="H12" s="114" t="s">
        <v>155</v>
      </c>
      <c r="I12" s="113" t="s">
        <v>156</v>
      </c>
      <c r="J12" s="18" t="str">
        <f t="shared" si="2"/>
        <v>Отсутствие напряжения ф.С яч.2</v>
      </c>
      <c r="K12" s="61">
        <v>111</v>
      </c>
      <c r="L12" s="113" t="s">
        <v>159</v>
      </c>
      <c r="M12" s="108"/>
      <c r="N12" s="109"/>
    </row>
    <row r="13" spans="1:14" x14ac:dyDescent="0.3">
      <c r="A13" s="60">
        <v>12</v>
      </c>
      <c r="B13" s="110" t="s">
        <v>157</v>
      </c>
      <c r="C13" s="111">
        <v>2</v>
      </c>
      <c r="D13" s="15" t="s">
        <v>158</v>
      </c>
      <c r="E13" s="112"/>
      <c r="F13" s="121" t="s">
        <v>36</v>
      </c>
      <c r="G13" s="61" t="s">
        <v>140</v>
      </c>
      <c r="H13" s="114" t="s">
        <v>162</v>
      </c>
      <c r="I13" s="113" t="s">
        <v>156</v>
      </c>
      <c r="J13" s="18" t="str">
        <f t="shared" si="2"/>
        <v>Срабатывание УТКЗ яч.2</v>
      </c>
      <c r="K13" s="61">
        <v>112</v>
      </c>
      <c r="L13" s="113" t="s">
        <v>159</v>
      </c>
      <c r="M13" s="108"/>
      <c r="N13" s="109"/>
    </row>
    <row r="14" spans="1:14" x14ac:dyDescent="0.3">
      <c r="A14" s="60">
        <v>13</v>
      </c>
      <c r="B14" s="118" t="s">
        <v>152</v>
      </c>
      <c r="C14" s="119"/>
      <c r="D14" s="61" t="s">
        <v>106</v>
      </c>
      <c r="E14" s="120"/>
      <c r="F14" s="121" t="s">
        <v>160</v>
      </c>
      <c r="G14" s="61" t="s">
        <v>103</v>
      </c>
      <c r="H14" s="62" t="s">
        <v>107</v>
      </c>
      <c r="I14" s="61" t="s">
        <v>76</v>
      </c>
      <c r="J14" s="115" t="s">
        <v>161</v>
      </c>
      <c r="K14" s="61">
        <v>113</v>
      </c>
      <c r="L14" s="61" t="s">
        <v>110</v>
      </c>
      <c r="M14" s="116"/>
      <c r="N14" s="117"/>
    </row>
    <row r="15" spans="1:14" x14ac:dyDescent="0.3">
      <c r="A15" s="60">
        <v>14</v>
      </c>
      <c r="B15" s="118" t="s">
        <v>152</v>
      </c>
      <c r="C15" s="10"/>
      <c r="D15" s="11" t="s">
        <v>108</v>
      </c>
      <c r="E15" s="59"/>
      <c r="F15" s="121" t="s">
        <v>160</v>
      </c>
      <c r="G15" s="61" t="s">
        <v>103</v>
      </c>
      <c r="H15" s="9" t="s">
        <v>74</v>
      </c>
      <c r="I15" s="11" t="s">
        <v>79</v>
      </c>
      <c r="J15" s="18" t="str">
        <f t="shared" ref="J15:J19" si="3">IF(I15="Выключатель",CONCATENATE(H15," ",G15),CONCATENATE(H15," ",F15))</f>
        <v>ЗН яч.3</v>
      </c>
      <c r="K15" s="61">
        <v>114</v>
      </c>
      <c r="L15" s="11" t="s">
        <v>110</v>
      </c>
      <c r="M15" s="108"/>
      <c r="N15" s="109"/>
    </row>
    <row r="16" spans="1:14" x14ac:dyDescent="0.3">
      <c r="A16" s="60">
        <v>15</v>
      </c>
      <c r="B16" s="110" t="s">
        <v>157</v>
      </c>
      <c r="C16" s="111">
        <v>3</v>
      </c>
      <c r="D16" s="15" t="s">
        <v>158</v>
      </c>
      <c r="E16" s="112"/>
      <c r="F16" s="121" t="s">
        <v>160</v>
      </c>
      <c r="G16" s="61" t="s">
        <v>103</v>
      </c>
      <c r="H16" s="114" t="s">
        <v>153</v>
      </c>
      <c r="I16" s="113" t="s">
        <v>156</v>
      </c>
      <c r="J16" s="18" t="str">
        <f t="shared" si="3"/>
        <v>Отсутствие напряжения ф.А яч.3</v>
      </c>
      <c r="K16" s="61">
        <v>115</v>
      </c>
      <c r="L16" s="113" t="s">
        <v>159</v>
      </c>
      <c r="M16" s="108"/>
      <c r="N16" s="109"/>
    </row>
    <row r="17" spans="1:14" x14ac:dyDescent="0.3">
      <c r="A17" s="60">
        <v>16</v>
      </c>
      <c r="B17" s="110" t="s">
        <v>157</v>
      </c>
      <c r="C17" s="111">
        <v>3</v>
      </c>
      <c r="D17" s="15" t="s">
        <v>158</v>
      </c>
      <c r="E17" s="112"/>
      <c r="F17" s="121" t="s">
        <v>160</v>
      </c>
      <c r="G17" s="61" t="s">
        <v>103</v>
      </c>
      <c r="H17" s="114" t="s">
        <v>154</v>
      </c>
      <c r="I17" s="113" t="s">
        <v>156</v>
      </c>
      <c r="J17" s="18" t="str">
        <f t="shared" si="3"/>
        <v>Отсутствие напряжения ф.В яч.3</v>
      </c>
      <c r="K17" s="61">
        <v>116</v>
      </c>
      <c r="L17" s="113" t="s">
        <v>159</v>
      </c>
      <c r="M17" s="108"/>
      <c r="N17" s="109"/>
    </row>
    <row r="18" spans="1:14" x14ac:dyDescent="0.3">
      <c r="A18" s="60">
        <v>17</v>
      </c>
      <c r="B18" s="110" t="s">
        <v>157</v>
      </c>
      <c r="C18" s="111">
        <v>3</v>
      </c>
      <c r="D18" s="15" t="s">
        <v>158</v>
      </c>
      <c r="E18" s="112"/>
      <c r="F18" s="121" t="s">
        <v>160</v>
      </c>
      <c r="G18" s="61" t="s">
        <v>103</v>
      </c>
      <c r="H18" s="114" t="s">
        <v>155</v>
      </c>
      <c r="I18" s="113" t="s">
        <v>156</v>
      </c>
      <c r="J18" s="18" t="str">
        <f t="shared" si="3"/>
        <v>Отсутствие напряжения ф.С яч.3</v>
      </c>
      <c r="K18" s="61">
        <v>117</v>
      </c>
      <c r="L18" s="113" t="s">
        <v>159</v>
      </c>
      <c r="M18" s="108"/>
      <c r="N18" s="109"/>
    </row>
    <row r="19" spans="1:14" x14ac:dyDescent="0.3">
      <c r="A19" s="60">
        <v>18</v>
      </c>
      <c r="B19" s="110" t="s">
        <v>157</v>
      </c>
      <c r="C19" s="111">
        <v>3</v>
      </c>
      <c r="D19" s="15" t="s">
        <v>158</v>
      </c>
      <c r="E19" s="112"/>
      <c r="F19" s="121" t="s">
        <v>160</v>
      </c>
      <c r="G19" s="61" t="s">
        <v>103</v>
      </c>
      <c r="H19" s="114" t="s">
        <v>162</v>
      </c>
      <c r="I19" s="113" t="s">
        <v>156</v>
      </c>
      <c r="J19" s="18" t="str">
        <f t="shared" si="3"/>
        <v>Срабатывание УТКЗ яч.3</v>
      </c>
      <c r="K19" s="61">
        <v>118</v>
      </c>
      <c r="L19" s="113" t="s">
        <v>159</v>
      </c>
      <c r="M19" s="108"/>
      <c r="N19" s="109"/>
    </row>
    <row r="20" spans="1:14" x14ac:dyDescent="0.3">
      <c r="A20" s="60">
        <v>19</v>
      </c>
      <c r="B20" s="118" t="s">
        <v>152</v>
      </c>
      <c r="C20" s="119"/>
      <c r="D20" s="61" t="s">
        <v>106</v>
      </c>
      <c r="E20" s="120"/>
      <c r="F20" s="121" t="s">
        <v>64</v>
      </c>
      <c r="G20" s="61" t="s">
        <v>104</v>
      </c>
      <c r="H20" s="62" t="s">
        <v>107</v>
      </c>
      <c r="I20" s="61" t="s">
        <v>76</v>
      </c>
      <c r="J20" s="115" t="str">
        <f>IF(I20="Выключатель",CONCATENATE(H20," ",G20),CONCATENATE(H20," ",F20))</f>
        <v>ВН ШР-1</v>
      </c>
      <c r="K20" s="61">
        <v>119</v>
      </c>
      <c r="L20" s="61" t="s">
        <v>110</v>
      </c>
      <c r="M20" s="116"/>
      <c r="N20" s="117"/>
    </row>
    <row r="21" spans="1:14" x14ac:dyDescent="0.3">
      <c r="A21" s="60">
        <v>20</v>
      </c>
      <c r="B21" s="118" t="s">
        <v>152</v>
      </c>
      <c r="C21" s="10"/>
      <c r="D21" s="11" t="s">
        <v>108</v>
      </c>
      <c r="E21" s="59"/>
      <c r="F21" s="121" t="s">
        <v>64</v>
      </c>
      <c r="G21" s="61" t="s">
        <v>104</v>
      </c>
      <c r="H21" s="9" t="s">
        <v>74</v>
      </c>
      <c r="I21" s="11" t="s">
        <v>79</v>
      </c>
      <c r="J21" s="18" t="str">
        <f>IF(I21="Выключатель",CONCATENATE(H21," ",G21),CONCATENATE(H21," ",F21))</f>
        <v>ЗН яч.4</v>
      </c>
      <c r="K21" s="61">
        <v>120</v>
      </c>
      <c r="L21" s="11" t="s">
        <v>110</v>
      </c>
      <c r="M21" s="108"/>
      <c r="N21" s="109"/>
    </row>
    <row r="22" spans="1:14" x14ac:dyDescent="0.3">
      <c r="A22" s="60">
        <v>21</v>
      </c>
      <c r="B22" s="118" t="s">
        <v>152</v>
      </c>
      <c r="C22" s="119"/>
      <c r="D22" s="61" t="s">
        <v>106</v>
      </c>
      <c r="E22" s="120"/>
      <c r="F22" s="121" t="s">
        <v>65</v>
      </c>
      <c r="G22" s="61" t="s">
        <v>77</v>
      </c>
      <c r="H22" s="62" t="s">
        <v>107</v>
      </c>
      <c r="I22" s="61" t="s">
        <v>76</v>
      </c>
      <c r="J22" s="115" t="str">
        <f>IF(I22="Выключатель",CONCATENATE(H22," ",G22),CONCATENATE(H22," ",F22))</f>
        <v>ВН ШВН-1</v>
      </c>
      <c r="K22" s="61">
        <v>121</v>
      </c>
      <c r="L22" s="61" t="s">
        <v>110</v>
      </c>
      <c r="M22" s="116"/>
      <c r="N22" s="117"/>
    </row>
    <row r="23" spans="1:14" x14ac:dyDescent="0.3">
      <c r="A23" s="60">
        <v>22</v>
      </c>
      <c r="B23" s="118" t="s">
        <v>152</v>
      </c>
      <c r="C23" s="10"/>
      <c r="D23" s="11" t="s">
        <v>108</v>
      </c>
      <c r="E23" s="59"/>
      <c r="F23" s="121" t="s">
        <v>65</v>
      </c>
      <c r="G23" s="61" t="s">
        <v>77</v>
      </c>
      <c r="H23" s="9" t="s">
        <v>74</v>
      </c>
      <c r="I23" s="11" t="s">
        <v>79</v>
      </c>
      <c r="J23" s="18" t="str">
        <f>IF(I23="Выключатель",CONCATENATE(H23," ",G23),CONCATENATE(H23," ",F23))</f>
        <v>ЗН яч.5</v>
      </c>
      <c r="K23" s="61">
        <v>122</v>
      </c>
      <c r="L23" s="11" t="s">
        <v>110</v>
      </c>
      <c r="M23" s="108"/>
      <c r="N23" s="109"/>
    </row>
    <row r="24" spans="1:14" x14ac:dyDescent="0.3">
      <c r="A24" s="60">
        <v>23</v>
      </c>
      <c r="B24" s="118" t="s">
        <v>152</v>
      </c>
      <c r="C24" s="119"/>
      <c r="D24" s="61" t="s">
        <v>106</v>
      </c>
      <c r="E24" s="120"/>
      <c r="F24" s="121" t="s">
        <v>163</v>
      </c>
      <c r="G24" s="61" t="s">
        <v>71</v>
      </c>
      <c r="H24" s="62" t="s">
        <v>107</v>
      </c>
      <c r="I24" s="61" t="s">
        <v>76</v>
      </c>
      <c r="J24" s="115" t="str">
        <f>IF(I24="Выключатель",CONCATENATE(H24," ",G24),CONCATENATE(H24," ",F24))</f>
        <v>ВН Т-1</v>
      </c>
      <c r="K24" s="61">
        <v>123</v>
      </c>
      <c r="L24" s="61" t="s">
        <v>110</v>
      </c>
      <c r="M24" s="116"/>
      <c r="N24" s="117"/>
    </row>
    <row r="25" spans="1:14" x14ac:dyDescent="0.3">
      <c r="A25" s="60">
        <v>24</v>
      </c>
      <c r="B25" s="118" t="s">
        <v>152</v>
      </c>
      <c r="C25" s="10"/>
      <c r="D25" s="11" t="s">
        <v>108</v>
      </c>
      <c r="E25" s="59"/>
      <c r="F25" s="121" t="s">
        <v>163</v>
      </c>
      <c r="G25" s="61" t="s">
        <v>71</v>
      </c>
      <c r="H25" s="9" t="s">
        <v>74</v>
      </c>
      <c r="I25" s="11" t="s">
        <v>79</v>
      </c>
      <c r="J25" s="18" t="str">
        <f t="shared" ref="J25:J29" si="4">IF(I25="Выключатель",CONCATENATE(H25," ",G25),CONCATENATE(H25," ",F25))</f>
        <v>ЗН яч.6</v>
      </c>
      <c r="K25" s="61">
        <v>124</v>
      </c>
      <c r="L25" s="11" t="s">
        <v>110</v>
      </c>
      <c r="M25" s="108"/>
      <c r="N25" s="109"/>
    </row>
    <row r="26" spans="1:14" x14ac:dyDescent="0.3">
      <c r="A26" s="60">
        <v>25</v>
      </c>
      <c r="B26" s="118" t="s">
        <v>152</v>
      </c>
      <c r="C26" s="111"/>
      <c r="D26" s="15" t="s">
        <v>209</v>
      </c>
      <c r="E26" s="112"/>
      <c r="F26" s="121" t="s">
        <v>163</v>
      </c>
      <c r="G26" s="61" t="s">
        <v>71</v>
      </c>
      <c r="H26" s="114" t="s">
        <v>166</v>
      </c>
      <c r="I26" s="113" t="s">
        <v>156</v>
      </c>
      <c r="J26" s="18" t="str">
        <f t="shared" si="4"/>
        <v>Аварийное отключение яч.6</v>
      </c>
      <c r="K26" s="61">
        <v>125</v>
      </c>
      <c r="L26" s="113" t="s">
        <v>159</v>
      </c>
      <c r="M26" s="108"/>
      <c r="N26" s="109"/>
    </row>
    <row r="27" spans="1:14" x14ac:dyDescent="0.3">
      <c r="A27" s="60">
        <v>26</v>
      </c>
      <c r="B27" s="118" t="s">
        <v>152</v>
      </c>
      <c r="C27" s="111"/>
      <c r="D27" s="15" t="s">
        <v>210</v>
      </c>
      <c r="E27" s="112"/>
      <c r="F27" s="121" t="s">
        <v>163</v>
      </c>
      <c r="G27" s="61" t="s">
        <v>71</v>
      </c>
      <c r="H27" s="114" t="s">
        <v>167</v>
      </c>
      <c r="I27" s="113" t="s">
        <v>156</v>
      </c>
      <c r="J27" s="18" t="str">
        <f t="shared" si="4"/>
        <v>Неисправность VIP410E яч.6</v>
      </c>
      <c r="K27" s="61">
        <v>126</v>
      </c>
      <c r="L27" s="113" t="s">
        <v>159</v>
      </c>
      <c r="M27" s="108"/>
      <c r="N27" s="109"/>
    </row>
    <row r="28" spans="1:14" x14ac:dyDescent="0.3">
      <c r="A28" s="60">
        <v>27</v>
      </c>
      <c r="B28" s="110" t="s">
        <v>165</v>
      </c>
      <c r="C28" s="111">
        <v>6</v>
      </c>
      <c r="D28" s="15" t="s">
        <v>158</v>
      </c>
      <c r="E28" s="112"/>
      <c r="F28" s="121" t="s">
        <v>163</v>
      </c>
      <c r="G28" s="61" t="s">
        <v>71</v>
      </c>
      <c r="H28" s="114" t="s">
        <v>168</v>
      </c>
      <c r="I28" s="113" t="s">
        <v>156</v>
      </c>
      <c r="J28" s="18" t="str">
        <f t="shared" si="4"/>
        <v>МТЗ яч.6</v>
      </c>
      <c r="K28" s="61">
        <v>127</v>
      </c>
      <c r="L28" s="113" t="s">
        <v>159</v>
      </c>
      <c r="M28" s="108"/>
      <c r="N28" s="109"/>
    </row>
    <row r="29" spans="1:14" x14ac:dyDescent="0.3">
      <c r="A29" s="60">
        <v>28</v>
      </c>
      <c r="B29" s="110" t="s">
        <v>165</v>
      </c>
      <c r="C29" s="111">
        <v>6</v>
      </c>
      <c r="D29" s="15" t="s">
        <v>158</v>
      </c>
      <c r="E29" s="112"/>
      <c r="F29" s="121" t="s">
        <v>163</v>
      </c>
      <c r="G29" s="61" t="s">
        <v>71</v>
      </c>
      <c r="H29" s="114" t="s">
        <v>169</v>
      </c>
      <c r="I29" s="113" t="s">
        <v>156</v>
      </c>
      <c r="J29" s="18" t="str">
        <f t="shared" si="4"/>
        <v>Неисправность расцепителя Mitop яч.6</v>
      </c>
      <c r="K29" s="61">
        <v>128</v>
      </c>
      <c r="L29" s="113" t="s">
        <v>159</v>
      </c>
      <c r="M29" s="108"/>
      <c r="N29" s="109"/>
    </row>
    <row r="30" spans="1:14" x14ac:dyDescent="0.3">
      <c r="A30" s="60">
        <v>29</v>
      </c>
      <c r="B30" s="118" t="s">
        <v>152</v>
      </c>
      <c r="C30" s="119"/>
      <c r="D30" s="61" t="s">
        <v>106</v>
      </c>
      <c r="E30" s="120"/>
      <c r="F30" s="121" t="s">
        <v>66</v>
      </c>
      <c r="G30" s="61" t="s">
        <v>75</v>
      </c>
      <c r="H30" s="62" t="s">
        <v>107</v>
      </c>
      <c r="I30" s="61" t="s">
        <v>76</v>
      </c>
      <c r="J30" s="115" t="str">
        <f>IF(I30="Выключатель",CONCATENATE(H30," ",G30),CONCATENATE(H30," ",F30))</f>
        <v>ВН СР</v>
      </c>
      <c r="K30" s="61">
        <v>129</v>
      </c>
      <c r="L30" s="61" t="s">
        <v>110</v>
      </c>
      <c r="M30" s="116"/>
      <c r="N30" s="117"/>
    </row>
    <row r="31" spans="1:14" x14ac:dyDescent="0.3">
      <c r="A31" s="60">
        <v>30</v>
      </c>
      <c r="B31" s="118" t="s">
        <v>152</v>
      </c>
      <c r="C31" s="10"/>
      <c r="D31" s="11" t="s">
        <v>108</v>
      </c>
      <c r="E31" s="59"/>
      <c r="F31" s="121" t="s">
        <v>66</v>
      </c>
      <c r="G31" s="61" t="s">
        <v>75</v>
      </c>
      <c r="H31" s="9" t="s">
        <v>74</v>
      </c>
      <c r="I31" s="11" t="s">
        <v>79</v>
      </c>
      <c r="J31" s="18" t="str">
        <f>IF(I31="Выключатель",CONCATENATE(H31," ",G31),CONCATENATE(H31," ",F31))</f>
        <v>ЗН яч.7</v>
      </c>
      <c r="K31" s="61">
        <v>130</v>
      </c>
      <c r="L31" s="11" t="s">
        <v>110</v>
      </c>
      <c r="M31" s="108"/>
      <c r="N31" s="109"/>
    </row>
    <row r="32" spans="1:14" x14ac:dyDescent="0.3">
      <c r="A32" s="60">
        <v>31</v>
      </c>
      <c r="B32" s="118" t="s">
        <v>152</v>
      </c>
      <c r="C32" s="119"/>
      <c r="D32" s="61" t="s">
        <v>106</v>
      </c>
      <c r="E32" s="120"/>
      <c r="F32" s="121" t="s">
        <v>67</v>
      </c>
      <c r="G32" s="61" t="s">
        <v>83</v>
      </c>
      <c r="H32" s="62" t="s">
        <v>107</v>
      </c>
      <c r="I32" s="61" t="s">
        <v>76</v>
      </c>
      <c r="J32" s="115" t="str">
        <f>IF(I32="Выключатель",CONCATENATE(H32," ",G32),CONCATENATE(H32," ",F32))</f>
        <v>ВН СВН</v>
      </c>
      <c r="K32" s="61">
        <v>131</v>
      </c>
      <c r="L32" s="61" t="s">
        <v>110</v>
      </c>
      <c r="M32" s="116"/>
      <c r="N32" s="117"/>
    </row>
    <row r="33" spans="1:14" x14ac:dyDescent="0.3">
      <c r="A33" s="60">
        <v>32</v>
      </c>
      <c r="B33" s="118" t="s">
        <v>152</v>
      </c>
      <c r="C33" s="10"/>
      <c r="D33" s="11" t="s">
        <v>108</v>
      </c>
      <c r="E33" s="59"/>
      <c r="F33" s="121" t="s">
        <v>67</v>
      </c>
      <c r="G33" s="61" t="s">
        <v>83</v>
      </c>
      <c r="H33" s="9" t="s">
        <v>74</v>
      </c>
      <c r="I33" s="11" t="s">
        <v>79</v>
      </c>
      <c r="J33" s="18" t="str">
        <f t="shared" ref="J33:J37" si="5">IF(I33="Выключатель",CONCATENATE(H33," ",G33),CONCATENATE(H33," ",F33))</f>
        <v>ЗН яч.8</v>
      </c>
      <c r="K33" s="61">
        <v>132</v>
      </c>
      <c r="L33" s="11" t="s">
        <v>110</v>
      </c>
      <c r="M33" s="108"/>
      <c r="N33" s="109"/>
    </row>
    <row r="34" spans="1:14" x14ac:dyDescent="0.3">
      <c r="A34" s="60">
        <v>33</v>
      </c>
      <c r="B34" s="110" t="s">
        <v>157</v>
      </c>
      <c r="C34" s="111">
        <v>8</v>
      </c>
      <c r="D34" s="15" t="s">
        <v>158</v>
      </c>
      <c r="E34" s="112"/>
      <c r="F34" s="121" t="s">
        <v>67</v>
      </c>
      <c r="G34" s="61" t="s">
        <v>83</v>
      </c>
      <c r="H34" s="114" t="s">
        <v>153</v>
      </c>
      <c r="I34" s="113" t="s">
        <v>156</v>
      </c>
      <c r="J34" s="18" t="str">
        <f t="shared" si="5"/>
        <v>Отсутствие напряжения ф.А яч.8</v>
      </c>
      <c r="K34" s="61">
        <v>133</v>
      </c>
      <c r="L34" s="113" t="s">
        <v>159</v>
      </c>
      <c r="M34" s="108"/>
      <c r="N34" s="109"/>
    </row>
    <row r="35" spans="1:14" x14ac:dyDescent="0.3">
      <c r="A35" s="60">
        <v>34</v>
      </c>
      <c r="B35" s="110" t="s">
        <v>157</v>
      </c>
      <c r="C35" s="111">
        <v>8</v>
      </c>
      <c r="D35" s="15" t="s">
        <v>158</v>
      </c>
      <c r="E35" s="112"/>
      <c r="F35" s="121" t="s">
        <v>67</v>
      </c>
      <c r="G35" s="61" t="s">
        <v>83</v>
      </c>
      <c r="H35" s="114" t="s">
        <v>154</v>
      </c>
      <c r="I35" s="113" t="s">
        <v>156</v>
      </c>
      <c r="J35" s="18" t="str">
        <f t="shared" si="5"/>
        <v>Отсутствие напряжения ф.В яч.8</v>
      </c>
      <c r="K35" s="61">
        <v>134</v>
      </c>
      <c r="L35" s="113" t="s">
        <v>159</v>
      </c>
      <c r="M35" s="108"/>
      <c r="N35" s="109"/>
    </row>
    <row r="36" spans="1:14" x14ac:dyDescent="0.3">
      <c r="A36" s="60">
        <v>35</v>
      </c>
      <c r="B36" s="110" t="s">
        <v>157</v>
      </c>
      <c r="C36" s="111">
        <v>8</v>
      </c>
      <c r="D36" s="15" t="s">
        <v>158</v>
      </c>
      <c r="E36" s="112"/>
      <c r="F36" s="121" t="s">
        <v>67</v>
      </c>
      <c r="G36" s="61" t="s">
        <v>83</v>
      </c>
      <c r="H36" s="114" t="s">
        <v>155</v>
      </c>
      <c r="I36" s="113" t="s">
        <v>156</v>
      </c>
      <c r="J36" s="18" t="str">
        <f t="shared" si="5"/>
        <v>Отсутствие напряжения ф.С яч.8</v>
      </c>
      <c r="K36" s="61">
        <v>135</v>
      </c>
      <c r="L36" s="113" t="s">
        <v>159</v>
      </c>
      <c r="M36" s="108"/>
      <c r="N36" s="109"/>
    </row>
    <row r="37" spans="1:14" x14ac:dyDescent="0.3">
      <c r="A37" s="60">
        <v>36</v>
      </c>
      <c r="B37" s="110" t="s">
        <v>157</v>
      </c>
      <c r="C37" s="111">
        <v>8</v>
      </c>
      <c r="D37" s="15" t="s">
        <v>158</v>
      </c>
      <c r="E37" s="112"/>
      <c r="F37" s="121" t="s">
        <v>67</v>
      </c>
      <c r="G37" s="61" t="s">
        <v>83</v>
      </c>
      <c r="H37" s="114" t="s">
        <v>162</v>
      </c>
      <c r="I37" s="113" t="s">
        <v>156</v>
      </c>
      <c r="J37" s="18" t="str">
        <f t="shared" si="5"/>
        <v>Срабатывание УТКЗ яч.8</v>
      </c>
      <c r="K37" s="61">
        <v>136</v>
      </c>
      <c r="L37" s="113" t="s">
        <v>159</v>
      </c>
      <c r="M37" s="108"/>
      <c r="N37" s="109"/>
    </row>
    <row r="38" spans="1:14" x14ac:dyDescent="0.3">
      <c r="A38" s="60">
        <v>37</v>
      </c>
      <c r="B38" s="118" t="s">
        <v>152</v>
      </c>
      <c r="C38" s="119"/>
      <c r="D38" s="61" t="s">
        <v>106</v>
      </c>
      <c r="E38" s="120"/>
      <c r="F38" s="121" t="s">
        <v>68</v>
      </c>
      <c r="G38" s="61" t="s">
        <v>72</v>
      </c>
      <c r="H38" s="62" t="s">
        <v>107</v>
      </c>
      <c r="I38" s="61" t="s">
        <v>76</v>
      </c>
      <c r="J38" s="115" t="str">
        <f>IF(I38="Выключатель",CONCATENATE(H38," ",G38),CONCATENATE(H38," ",F38))</f>
        <v>ВН Т-2</v>
      </c>
      <c r="K38" s="61">
        <v>137</v>
      </c>
      <c r="L38" s="61" t="s">
        <v>110</v>
      </c>
      <c r="M38" s="116"/>
      <c r="N38" s="117"/>
    </row>
    <row r="39" spans="1:14" x14ac:dyDescent="0.3">
      <c r="A39" s="60">
        <v>38</v>
      </c>
      <c r="B39" s="118" t="s">
        <v>152</v>
      </c>
      <c r="C39" s="10"/>
      <c r="D39" s="11" t="s">
        <v>108</v>
      </c>
      <c r="E39" s="59"/>
      <c r="F39" s="121" t="s">
        <v>68</v>
      </c>
      <c r="G39" s="61" t="s">
        <v>72</v>
      </c>
      <c r="H39" s="9" t="s">
        <v>74</v>
      </c>
      <c r="I39" s="11" t="s">
        <v>79</v>
      </c>
      <c r="J39" s="18" t="str">
        <f t="shared" ref="J39:J43" si="6">IF(I39="Выключатель",CONCATENATE(H39," ",G39),CONCATENATE(H39," ",F39))</f>
        <v>ЗН яч.9</v>
      </c>
      <c r="K39" s="61">
        <v>138</v>
      </c>
      <c r="L39" s="11" t="s">
        <v>110</v>
      </c>
      <c r="M39" s="108"/>
      <c r="N39" s="109"/>
    </row>
    <row r="40" spans="1:14" x14ac:dyDescent="0.3">
      <c r="A40" s="60">
        <v>39</v>
      </c>
      <c r="B40" s="118" t="s">
        <v>152</v>
      </c>
      <c r="C40" s="111"/>
      <c r="D40" s="15" t="s">
        <v>164</v>
      </c>
      <c r="E40" s="112"/>
      <c r="F40" s="121" t="s">
        <v>68</v>
      </c>
      <c r="G40" s="61" t="s">
        <v>72</v>
      </c>
      <c r="H40" s="114" t="s">
        <v>166</v>
      </c>
      <c r="I40" s="113" t="s">
        <v>156</v>
      </c>
      <c r="J40" s="18" t="str">
        <f t="shared" si="6"/>
        <v>Аварийное отключение яч.9</v>
      </c>
      <c r="K40" s="61">
        <v>139</v>
      </c>
      <c r="L40" s="113" t="s">
        <v>159</v>
      </c>
      <c r="M40" s="108"/>
      <c r="N40" s="109"/>
    </row>
    <row r="41" spans="1:14" x14ac:dyDescent="0.3">
      <c r="A41" s="60">
        <v>40</v>
      </c>
      <c r="B41" s="118" t="s">
        <v>152</v>
      </c>
      <c r="C41" s="111"/>
      <c r="D41" s="15" t="s">
        <v>164</v>
      </c>
      <c r="E41" s="112"/>
      <c r="F41" s="121" t="s">
        <v>68</v>
      </c>
      <c r="G41" s="61" t="s">
        <v>72</v>
      </c>
      <c r="H41" s="114" t="s">
        <v>167</v>
      </c>
      <c r="I41" s="113" t="s">
        <v>156</v>
      </c>
      <c r="J41" s="18" t="str">
        <f t="shared" si="6"/>
        <v>Неисправность VIP410E яч.9</v>
      </c>
      <c r="K41" s="61">
        <v>140</v>
      </c>
      <c r="L41" s="113" t="s">
        <v>159</v>
      </c>
      <c r="M41" s="108"/>
      <c r="N41" s="109"/>
    </row>
    <row r="42" spans="1:14" x14ac:dyDescent="0.3">
      <c r="A42" s="60">
        <v>41</v>
      </c>
      <c r="B42" s="110" t="s">
        <v>165</v>
      </c>
      <c r="C42" s="111">
        <v>9</v>
      </c>
      <c r="D42" s="15" t="s">
        <v>158</v>
      </c>
      <c r="E42" s="112"/>
      <c r="F42" s="121" t="s">
        <v>68</v>
      </c>
      <c r="G42" s="61" t="s">
        <v>72</v>
      </c>
      <c r="H42" s="114" t="s">
        <v>168</v>
      </c>
      <c r="I42" s="113" t="s">
        <v>156</v>
      </c>
      <c r="J42" s="18" t="str">
        <f t="shared" si="6"/>
        <v>МТЗ яч.9</v>
      </c>
      <c r="K42" s="61">
        <v>141</v>
      </c>
      <c r="L42" s="113" t="s">
        <v>159</v>
      </c>
      <c r="M42" s="108"/>
      <c r="N42" s="109"/>
    </row>
    <row r="43" spans="1:14" x14ac:dyDescent="0.3">
      <c r="A43" s="60">
        <v>42</v>
      </c>
      <c r="B43" s="110" t="s">
        <v>165</v>
      </c>
      <c r="C43" s="111">
        <v>9</v>
      </c>
      <c r="D43" s="15" t="s">
        <v>158</v>
      </c>
      <c r="E43" s="112"/>
      <c r="F43" s="121" t="s">
        <v>68</v>
      </c>
      <c r="G43" s="61" t="s">
        <v>72</v>
      </c>
      <c r="H43" s="114" t="s">
        <v>169</v>
      </c>
      <c r="I43" s="113" t="s">
        <v>156</v>
      </c>
      <c r="J43" s="18" t="str">
        <f t="shared" si="6"/>
        <v>Неисправность расцепителя Mitop яч.9</v>
      </c>
      <c r="K43" s="61">
        <v>142</v>
      </c>
      <c r="L43" s="113" t="s">
        <v>159</v>
      </c>
      <c r="M43" s="108"/>
      <c r="N43" s="109"/>
    </row>
    <row r="44" spans="1:14" x14ac:dyDescent="0.3">
      <c r="A44" s="60">
        <v>43</v>
      </c>
      <c r="B44" s="118" t="s">
        <v>152</v>
      </c>
      <c r="C44" s="119"/>
      <c r="D44" s="61" t="s">
        <v>106</v>
      </c>
      <c r="E44" s="120"/>
      <c r="F44" s="121" t="s">
        <v>170</v>
      </c>
      <c r="G44" s="61" t="s">
        <v>78</v>
      </c>
      <c r="H44" s="62" t="s">
        <v>107</v>
      </c>
      <c r="I44" s="61" t="s">
        <v>76</v>
      </c>
      <c r="J44" s="115" t="str">
        <f>IF(I44="Выключатель",CONCATENATE(H44," ",G44),CONCATENATE(H44," ",F44))</f>
        <v>ВН ШВН-2</v>
      </c>
      <c r="K44" s="61">
        <v>143</v>
      </c>
      <c r="L44" s="61" t="s">
        <v>110</v>
      </c>
      <c r="M44" s="116"/>
      <c r="N44" s="117"/>
    </row>
    <row r="45" spans="1:14" x14ac:dyDescent="0.3">
      <c r="A45" s="60">
        <v>44</v>
      </c>
      <c r="B45" s="118" t="s">
        <v>152</v>
      </c>
      <c r="C45" s="10"/>
      <c r="D45" s="11" t="s">
        <v>108</v>
      </c>
      <c r="E45" s="59"/>
      <c r="F45" s="121" t="s">
        <v>170</v>
      </c>
      <c r="G45" s="61" t="s">
        <v>78</v>
      </c>
      <c r="H45" s="9" t="s">
        <v>74</v>
      </c>
      <c r="I45" s="11" t="s">
        <v>79</v>
      </c>
      <c r="J45" s="18" t="str">
        <f t="shared" ref="J45:J47" si="7">IF(I45="Выключатель",CONCATENATE(H45," ",G45),CONCATENATE(H45," ",F45))</f>
        <v>ЗН яч.10</v>
      </c>
      <c r="K45" s="61">
        <v>144</v>
      </c>
      <c r="L45" s="11" t="s">
        <v>110</v>
      </c>
      <c r="M45" s="108"/>
      <c r="N45" s="109"/>
    </row>
    <row r="46" spans="1:14" x14ac:dyDescent="0.3">
      <c r="A46" s="60">
        <v>45</v>
      </c>
      <c r="B46" s="118" t="s">
        <v>152</v>
      </c>
      <c r="C46" s="119"/>
      <c r="D46" s="61" t="s">
        <v>106</v>
      </c>
      <c r="E46" s="120"/>
      <c r="F46" s="121" t="s">
        <v>69</v>
      </c>
      <c r="G46" s="61" t="s">
        <v>105</v>
      </c>
      <c r="H46" s="62" t="s">
        <v>107</v>
      </c>
      <c r="I46" s="61" t="s">
        <v>76</v>
      </c>
      <c r="J46" s="18" t="str">
        <f t="shared" si="7"/>
        <v>ВН ШР-2</v>
      </c>
      <c r="K46" s="61">
        <v>145</v>
      </c>
      <c r="L46" s="61" t="s">
        <v>110</v>
      </c>
      <c r="M46" s="108"/>
      <c r="N46" s="109"/>
    </row>
    <row r="47" spans="1:14" x14ac:dyDescent="0.3">
      <c r="A47" s="60">
        <v>46</v>
      </c>
      <c r="B47" s="118" t="s">
        <v>152</v>
      </c>
      <c r="C47" s="10"/>
      <c r="D47" s="11" t="s">
        <v>108</v>
      </c>
      <c r="E47" s="59"/>
      <c r="F47" s="121" t="s">
        <v>69</v>
      </c>
      <c r="G47" s="61" t="s">
        <v>105</v>
      </c>
      <c r="H47" s="9" t="s">
        <v>74</v>
      </c>
      <c r="I47" s="11" t="s">
        <v>79</v>
      </c>
      <c r="J47" s="18" t="str">
        <f t="shared" si="7"/>
        <v>ЗН яч.11</v>
      </c>
      <c r="K47" s="61">
        <v>146</v>
      </c>
      <c r="L47" s="11" t="s">
        <v>110</v>
      </c>
      <c r="M47" s="108"/>
      <c r="N47" s="109"/>
    </row>
    <row r="48" spans="1:14" x14ac:dyDescent="0.3">
      <c r="A48" s="60">
        <v>47</v>
      </c>
      <c r="B48" s="118" t="s">
        <v>152</v>
      </c>
      <c r="C48" s="119"/>
      <c r="D48" s="61" t="s">
        <v>106</v>
      </c>
      <c r="E48" s="120"/>
      <c r="F48" s="121" t="s">
        <v>70</v>
      </c>
      <c r="G48" s="61" t="s">
        <v>103</v>
      </c>
      <c r="H48" s="62" t="s">
        <v>107</v>
      </c>
      <c r="I48" s="61" t="s">
        <v>76</v>
      </c>
      <c r="J48" s="115" t="s">
        <v>171</v>
      </c>
      <c r="K48" s="61">
        <v>147</v>
      </c>
      <c r="L48" s="61" t="s">
        <v>110</v>
      </c>
      <c r="M48" s="116"/>
      <c r="N48" s="117"/>
    </row>
    <row r="49" spans="1:14" x14ac:dyDescent="0.3">
      <c r="A49" s="60">
        <v>48</v>
      </c>
      <c r="B49" s="118" t="s">
        <v>152</v>
      </c>
      <c r="C49" s="10"/>
      <c r="D49" s="11" t="s">
        <v>108</v>
      </c>
      <c r="E49" s="59"/>
      <c r="F49" s="121" t="s">
        <v>70</v>
      </c>
      <c r="G49" s="61" t="s">
        <v>103</v>
      </c>
      <c r="H49" s="9" t="s">
        <v>74</v>
      </c>
      <c r="I49" s="11" t="s">
        <v>79</v>
      </c>
      <c r="J49" s="18" t="str">
        <f t="shared" ref="J49:J53" si="8">IF(I49="Выключатель",CONCATENATE(H49," ",G49),CONCATENATE(H49," ",F49))</f>
        <v>ЗН яч.12</v>
      </c>
      <c r="K49" s="61">
        <v>148</v>
      </c>
      <c r="L49" s="11" t="s">
        <v>110</v>
      </c>
      <c r="M49" s="108"/>
      <c r="N49" s="109"/>
    </row>
    <row r="50" spans="1:14" x14ac:dyDescent="0.3">
      <c r="A50" s="60">
        <v>49</v>
      </c>
      <c r="B50" s="110" t="s">
        <v>157</v>
      </c>
      <c r="C50" s="111">
        <v>12</v>
      </c>
      <c r="D50" s="15" t="s">
        <v>158</v>
      </c>
      <c r="E50" s="112"/>
      <c r="F50" s="121" t="s">
        <v>70</v>
      </c>
      <c r="G50" s="61" t="s">
        <v>103</v>
      </c>
      <c r="H50" s="114" t="s">
        <v>153</v>
      </c>
      <c r="I50" s="113" t="s">
        <v>156</v>
      </c>
      <c r="J50" s="18" t="str">
        <f t="shared" si="8"/>
        <v>Отсутствие напряжения ф.А яч.12</v>
      </c>
      <c r="K50" s="61">
        <v>149</v>
      </c>
      <c r="L50" s="113" t="s">
        <v>159</v>
      </c>
      <c r="M50" s="108"/>
      <c r="N50" s="109"/>
    </row>
    <row r="51" spans="1:14" x14ac:dyDescent="0.3">
      <c r="A51" s="60">
        <v>50</v>
      </c>
      <c r="B51" s="110" t="s">
        <v>157</v>
      </c>
      <c r="C51" s="111">
        <v>12</v>
      </c>
      <c r="D51" s="15" t="s">
        <v>158</v>
      </c>
      <c r="E51" s="112"/>
      <c r="F51" s="121" t="s">
        <v>70</v>
      </c>
      <c r="G51" s="61" t="s">
        <v>103</v>
      </c>
      <c r="H51" s="114" t="s">
        <v>154</v>
      </c>
      <c r="I51" s="113" t="s">
        <v>156</v>
      </c>
      <c r="J51" s="18" t="str">
        <f t="shared" si="8"/>
        <v>Отсутствие напряжения ф.В яч.12</v>
      </c>
      <c r="K51" s="61">
        <v>150</v>
      </c>
      <c r="L51" s="113" t="s">
        <v>159</v>
      </c>
      <c r="M51" s="108"/>
      <c r="N51" s="109"/>
    </row>
    <row r="52" spans="1:14" x14ac:dyDescent="0.3">
      <c r="A52" s="60">
        <v>51</v>
      </c>
      <c r="B52" s="110" t="s">
        <v>157</v>
      </c>
      <c r="C52" s="111">
        <v>12</v>
      </c>
      <c r="D52" s="15" t="s">
        <v>158</v>
      </c>
      <c r="E52" s="112"/>
      <c r="F52" s="121" t="s">
        <v>70</v>
      </c>
      <c r="G52" s="61" t="s">
        <v>103</v>
      </c>
      <c r="H52" s="114" t="s">
        <v>155</v>
      </c>
      <c r="I52" s="113" t="s">
        <v>156</v>
      </c>
      <c r="J52" s="18" t="str">
        <f t="shared" si="8"/>
        <v>Отсутствие напряжения ф.С яч.12</v>
      </c>
      <c r="K52" s="61">
        <v>151</v>
      </c>
      <c r="L52" s="113" t="s">
        <v>159</v>
      </c>
      <c r="M52" s="108"/>
      <c r="N52" s="109"/>
    </row>
    <row r="53" spans="1:14" x14ac:dyDescent="0.3">
      <c r="A53" s="60">
        <v>52</v>
      </c>
      <c r="B53" s="110" t="s">
        <v>157</v>
      </c>
      <c r="C53" s="111">
        <v>12</v>
      </c>
      <c r="D53" s="15" t="s">
        <v>158</v>
      </c>
      <c r="E53" s="112"/>
      <c r="F53" s="121" t="s">
        <v>70</v>
      </c>
      <c r="G53" s="61" t="s">
        <v>103</v>
      </c>
      <c r="H53" s="114" t="s">
        <v>162</v>
      </c>
      <c r="I53" s="113" t="s">
        <v>156</v>
      </c>
      <c r="J53" s="18" t="str">
        <f t="shared" si="8"/>
        <v>Срабатывание УТКЗ яч.12</v>
      </c>
      <c r="K53" s="61">
        <v>152</v>
      </c>
      <c r="L53" s="113" t="s">
        <v>159</v>
      </c>
      <c r="M53" s="108"/>
      <c r="N53" s="109"/>
    </row>
    <row r="54" spans="1:14" x14ac:dyDescent="0.3">
      <c r="A54" s="60">
        <v>53</v>
      </c>
      <c r="B54" s="118" t="s">
        <v>152</v>
      </c>
      <c r="C54" s="119"/>
      <c r="D54" s="61" t="s">
        <v>106</v>
      </c>
      <c r="E54" s="120"/>
      <c r="F54" s="121" t="s">
        <v>141</v>
      </c>
      <c r="G54" s="61" t="s">
        <v>205</v>
      </c>
      <c r="H54" s="62" t="s">
        <v>107</v>
      </c>
      <c r="I54" s="61" t="s">
        <v>76</v>
      </c>
      <c r="J54" s="115" t="str">
        <f>IF(I54="Выключатель",CONCATENATE(H54," ",G54),CONCATENATE(H54," ",F54))</f>
        <v>ВН ТП 29764</v>
      </c>
      <c r="K54" s="61">
        <v>153</v>
      </c>
      <c r="L54" s="61" t="s">
        <v>110</v>
      </c>
      <c r="M54" s="116"/>
      <c r="N54" s="117"/>
    </row>
    <row r="55" spans="1:14" x14ac:dyDescent="0.3">
      <c r="A55" s="60">
        <v>54</v>
      </c>
      <c r="B55" s="118" t="s">
        <v>152</v>
      </c>
      <c r="C55" s="10"/>
      <c r="D55" s="11" t="s">
        <v>108</v>
      </c>
      <c r="E55" s="59"/>
      <c r="F55" s="121" t="s">
        <v>141</v>
      </c>
      <c r="G55" s="61" t="s">
        <v>205</v>
      </c>
      <c r="H55" s="9" t="s">
        <v>74</v>
      </c>
      <c r="I55" s="11" t="s">
        <v>79</v>
      </c>
      <c r="J55" s="18" t="str">
        <f t="shared" ref="J55:J59" si="9">IF(I55="Выключатель",CONCATENATE(H55," ",G55),CONCATENATE(H55," ",F55))</f>
        <v>ЗН яч.13</v>
      </c>
      <c r="K55" s="61">
        <v>154</v>
      </c>
      <c r="L55" s="11" t="s">
        <v>110</v>
      </c>
      <c r="M55" s="108"/>
      <c r="N55" s="109"/>
    </row>
    <row r="56" spans="1:14" x14ac:dyDescent="0.3">
      <c r="A56" s="60">
        <v>55</v>
      </c>
      <c r="B56" s="110" t="s">
        <v>157</v>
      </c>
      <c r="C56" s="111">
        <v>13</v>
      </c>
      <c r="D56" s="15" t="s">
        <v>158</v>
      </c>
      <c r="E56" s="112"/>
      <c r="F56" s="121" t="s">
        <v>141</v>
      </c>
      <c r="G56" s="61" t="s">
        <v>205</v>
      </c>
      <c r="H56" s="114" t="s">
        <v>153</v>
      </c>
      <c r="I56" s="113" t="s">
        <v>156</v>
      </c>
      <c r="J56" s="18" t="str">
        <f t="shared" si="9"/>
        <v>Отсутствие напряжения ф.А яч.13</v>
      </c>
      <c r="K56" s="61">
        <v>155</v>
      </c>
      <c r="L56" s="113" t="s">
        <v>159</v>
      </c>
      <c r="M56" s="108"/>
      <c r="N56" s="109"/>
    </row>
    <row r="57" spans="1:14" x14ac:dyDescent="0.3">
      <c r="A57" s="60">
        <v>56</v>
      </c>
      <c r="B57" s="110" t="s">
        <v>157</v>
      </c>
      <c r="C57" s="111">
        <v>13</v>
      </c>
      <c r="D57" s="15" t="s">
        <v>158</v>
      </c>
      <c r="E57" s="112"/>
      <c r="F57" s="121" t="s">
        <v>141</v>
      </c>
      <c r="G57" s="61" t="s">
        <v>205</v>
      </c>
      <c r="H57" s="114" t="s">
        <v>154</v>
      </c>
      <c r="I57" s="113" t="s">
        <v>156</v>
      </c>
      <c r="J57" s="18" t="str">
        <f t="shared" si="9"/>
        <v>Отсутствие напряжения ф.В яч.13</v>
      </c>
      <c r="K57" s="61">
        <v>156</v>
      </c>
      <c r="L57" s="113" t="s">
        <v>159</v>
      </c>
      <c r="M57" s="108"/>
      <c r="N57" s="109"/>
    </row>
    <row r="58" spans="1:14" x14ac:dyDescent="0.3">
      <c r="A58" s="60">
        <v>57</v>
      </c>
      <c r="B58" s="110" t="s">
        <v>157</v>
      </c>
      <c r="C58" s="111">
        <v>13</v>
      </c>
      <c r="D58" s="15" t="s">
        <v>158</v>
      </c>
      <c r="E58" s="112"/>
      <c r="F58" s="121" t="s">
        <v>141</v>
      </c>
      <c r="G58" s="61" t="s">
        <v>205</v>
      </c>
      <c r="H58" s="114" t="s">
        <v>155</v>
      </c>
      <c r="I58" s="113" t="s">
        <v>156</v>
      </c>
      <c r="J58" s="18" t="str">
        <f t="shared" si="9"/>
        <v>Отсутствие напряжения ф.С яч.13</v>
      </c>
      <c r="K58" s="61">
        <v>157</v>
      </c>
      <c r="L58" s="113" t="s">
        <v>159</v>
      </c>
      <c r="M58" s="108"/>
      <c r="N58" s="109"/>
    </row>
    <row r="59" spans="1:14" x14ac:dyDescent="0.3">
      <c r="A59" s="60">
        <v>58</v>
      </c>
      <c r="B59" s="110" t="s">
        <v>157</v>
      </c>
      <c r="C59" s="111">
        <v>13</v>
      </c>
      <c r="D59" s="15" t="s">
        <v>158</v>
      </c>
      <c r="E59" s="112"/>
      <c r="F59" s="121" t="s">
        <v>141</v>
      </c>
      <c r="G59" s="61" t="s">
        <v>205</v>
      </c>
      <c r="H59" s="114" t="s">
        <v>162</v>
      </c>
      <c r="I59" s="113" t="s">
        <v>156</v>
      </c>
      <c r="J59" s="18" t="str">
        <f t="shared" si="9"/>
        <v>Срабатывание УТКЗ яч.13</v>
      </c>
      <c r="K59" s="61">
        <v>158</v>
      </c>
      <c r="L59" s="113" t="s">
        <v>159</v>
      </c>
      <c r="M59" s="108"/>
      <c r="N59" s="109"/>
    </row>
    <row r="60" spans="1:14" x14ac:dyDescent="0.3">
      <c r="A60" s="60">
        <v>59</v>
      </c>
      <c r="B60" s="118" t="s">
        <v>152</v>
      </c>
      <c r="C60" s="119"/>
      <c r="D60" s="61" t="s">
        <v>106</v>
      </c>
      <c r="E60" s="120"/>
      <c r="F60" s="121" t="s">
        <v>142</v>
      </c>
      <c r="G60" s="61" t="s">
        <v>143</v>
      </c>
      <c r="H60" s="62" t="s">
        <v>107</v>
      </c>
      <c r="I60" s="61" t="s">
        <v>76</v>
      </c>
      <c r="J60" s="115" t="str">
        <f>IF(I60="Выключатель",CONCATENATE(H60," ",G60),CONCATENATE(H60," ",F60))</f>
        <v>ВН ТП 29759</v>
      </c>
      <c r="K60" s="61">
        <v>159</v>
      </c>
      <c r="L60" s="61" t="s">
        <v>110</v>
      </c>
      <c r="M60" s="116"/>
      <c r="N60" s="117"/>
    </row>
    <row r="61" spans="1:14" x14ac:dyDescent="0.3">
      <c r="A61" s="60">
        <v>60</v>
      </c>
      <c r="B61" s="118" t="s">
        <v>152</v>
      </c>
      <c r="C61" s="10"/>
      <c r="D61" s="11" t="s">
        <v>108</v>
      </c>
      <c r="E61" s="59"/>
      <c r="F61" s="121" t="s">
        <v>142</v>
      </c>
      <c r="G61" s="61" t="s">
        <v>143</v>
      </c>
      <c r="H61" s="9" t="s">
        <v>74</v>
      </c>
      <c r="I61" s="11" t="s">
        <v>79</v>
      </c>
      <c r="J61" s="18" t="str">
        <f t="shared" ref="J61:J65" si="10">IF(I61="Выключатель",CONCATENATE(H61," ",G61),CONCATENATE(H61," ",F61))</f>
        <v>ЗН яч.14</v>
      </c>
      <c r="K61" s="61">
        <v>160</v>
      </c>
      <c r="L61" s="11" t="s">
        <v>110</v>
      </c>
      <c r="M61" s="108"/>
      <c r="N61" s="109"/>
    </row>
    <row r="62" spans="1:14" x14ac:dyDescent="0.3">
      <c r="A62" s="60">
        <v>61</v>
      </c>
      <c r="B62" s="110" t="s">
        <v>157</v>
      </c>
      <c r="C62" s="111">
        <v>14</v>
      </c>
      <c r="D62" s="15" t="s">
        <v>158</v>
      </c>
      <c r="E62" s="112"/>
      <c r="F62" s="121" t="s">
        <v>142</v>
      </c>
      <c r="G62" s="61" t="s">
        <v>143</v>
      </c>
      <c r="H62" s="114" t="s">
        <v>153</v>
      </c>
      <c r="I62" s="113" t="s">
        <v>156</v>
      </c>
      <c r="J62" s="18" t="str">
        <f t="shared" si="10"/>
        <v>Отсутствие напряжения ф.А яч.14</v>
      </c>
      <c r="K62" s="61">
        <v>161</v>
      </c>
      <c r="L62" s="113" t="s">
        <v>159</v>
      </c>
      <c r="M62" s="108"/>
      <c r="N62" s="109"/>
    </row>
    <row r="63" spans="1:14" x14ac:dyDescent="0.3">
      <c r="A63" s="60">
        <v>62</v>
      </c>
      <c r="B63" s="110" t="s">
        <v>157</v>
      </c>
      <c r="C63" s="111">
        <v>14</v>
      </c>
      <c r="D63" s="15" t="s">
        <v>158</v>
      </c>
      <c r="E63" s="112"/>
      <c r="F63" s="121" t="s">
        <v>142</v>
      </c>
      <c r="G63" s="61" t="s">
        <v>143</v>
      </c>
      <c r="H63" s="114" t="s">
        <v>154</v>
      </c>
      <c r="I63" s="113" t="s">
        <v>156</v>
      </c>
      <c r="J63" s="18" t="str">
        <f t="shared" si="10"/>
        <v>Отсутствие напряжения ф.В яч.14</v>
      </c>
      <c r="K63" s="61">
        <v>162</v>
      </c>
      <c r="L63" s="113" t="s">
        <v>159</v>
      </c>
      <c r="M63" s="108"/>
      <c r="N63" s="109"/>
    </row>
    <row r="64" spans="1:14" x14ac:dyDescent="0.3">
      <c r="A64" s="60">
        <v>63</v>
      </c>
      <c r="B64" s="110" t="s">
        <v>157</v>
      </c>
      <c r="C64" s="111">
        <v>14</v>
      </c>
      <c r="D64" s="15" t="s">
        <v>158</v>
      </c>
      <c r="E64" s="112"/>
      <c r="F64" s="121" t="s">
        <v>142</v>
      </c>
      <c r="G64" s="61" t="s">
        <v>143</v>
      </c>
      <c r="H64" s="114" t="s">
        <v>155</v>
      </c>
      <c r="I64" s="113" t="s">
        <v>156</v>
      </c>
      <c r="J64" s="18" t="str">
        <f t="shared" si="10"/>
        <v>Отсутствие напряжения ф.С яч.14</v>
      </c>
      <c r="K64" s="61">
        <v>163</v>
      </c>
      <c r="L64" s="113" t="s">
        <v>159</v>
      </c>
      <c r="M64" s="108"/>
      <c r="N64" s="109"/>
    </row>
    <row r="65" spans="1:14" x14ac:dyDescent="0.3">
      <c r="A65" s="60">
        <v>64</v>
      </c>
      <c r="B65" s="110" t="s">
        <v>157</v>
      </c>
      <c r="C65" s="111">
        <v>14</v>
      </c>
      <c r="D65" s="15" t="s">
        <v>158</v>
      </c>
      <c r="E65" s="112"/>
      <c r="F65" s="121" t="s">
        <v>142</v>
      </c>
      <c r="G65" s="61" t="s">
        <v>143</v>
      </c>
      <c r="H65" s="114" t="s">
        <v>162</v>
      </c>
      <c r="I65" s="113" t="s">
        <v>156</v>
      </c>
      <c r="J65" s="18" t="str">
        <f t="shared" si="10"/>
        <v>Срабатывание УТКЗ яч.14</v>
      </c>
      <c r="K65" s="61">
        <v>164</v>
      </c>
      <c r="L65" s="113" t="s">
        <v>159</v>
      </c>
      <c r="M65" s="108"/>
      <c r="N65" s="109"/>
    </row>
    <row r="66" spans="1:14" x14ac:dyDescent="0.3">
      <c r="A66" s="60">
        <v>65</v>
      </c>
      <c r="B66" s="118" t="s">
        <v>152</v>
      </c>
      <c r="C66" s="111"/>
      <c r="D66" s="61" t="s">
        <v>106</v>
      </c>
      <c r="E66" s="112"/>
      <c r="F66" s="94" t="s">
        <v>172</v>
      </c>
      <c r="G66" s="113" t="s">
        <v>172</v>
      </c>
      <c r="H66" s="114" t="s">
        <v>174</v>
      </c>
      <c r="I66" s="113" t="s">
        <v>76</v>
      </c>
      <c r="J66" s="115" t="str">
        <f>IF(I66="Выключатель",CONCATENATE(H66," ",G66),CONCATENATE(H66," ",F66))</f>
        <v>В 0,4 кВ УВР-1</v>
      </c>
      <c r="K66" s="61">
        <v>165</v>
      </c>
      <c r="L66" s="11" t="s">
        <v>110</v>
      </c>
      <c r="M66" s="116"/>
      <c r="N66" s="117"/>
    </row>
    <row r="67" spans="1:14" x14ac:dyDescent="0.3">
      <c r="A67" s="60">
        <v>66</v>
      </c>
      <c r="B67" s="118" t="s">
        <v>152</v>
      </c>
      <c r="C67" s="10"/>
      <c r="D67" s="61" t="s">
        <v>177</v>
      </c>
      <c r="E67" s="59"/>
      <c r="F67" s="94" t="s">
        <v>172</v>
      </c>
      <c r="G67" s="113" t="s">
        <v>172</v>
      </c>
      <c r="H67" s="9" t="s">
        <v>175</v>
      </c>
      <c r="I67" s="77" t="s">
        <v>173</v>
      </c>
      <c r="J67" s="18" t="str">
        <f>IF(I67="Выключатель",CONCATENATE(H67," ",G67),CONCATENATE(H67," ",F67))</f>
        <v>СР 0,4 кВ УВР-1</v>
      </c>
      <c r="K67" s="61">
        <v>166</v>
      </c>
      <c r="L67" s="113" t="s">
        <v>159</v>
      </c>
      <c r="M67" s="108"/>
      <c r="N67" s="109"/>
    </row>
    <row r="68" spans="1:14" x14ac:dyDescent="0.3">
      <c r="A68" s="60">
        <v>67</v>
      </c>
      <c r="B68" s="118" t="s">
        <v>152</v>
      </c>
      <c r="C68" s="111"/>
      <c r="D68" s="61" t="s">
        <v>106</v>
      </c>
      <c r="E68" s="112"/>
      <c r="F68" s="94" t="s">
        <v>176</v>
      </c>
      <c r="G68" s="94" t="s">
        <v>176</v>
      </c>
      <c r="H68" s="114" t="s">
        <v>174</v>
      </c>
      <c r="I68" s="113" t="s">
        <v>76</v>
      </c>
      <c r="J68" s="115" t="str">
        <f>IF(I68="Выключатель",CONCATENATE(H68," ",G68),CONCATENATE(H68," ",F68))</f>
        <v>В 0,4 кВ УВР-2</v>
      </c>
      <c r="K68" s="61">
        <v>167</v>
      </c>
      <c r="L68" s="11" t="s">
        <v>110</v>
      </c>
      <c r="M68" s="116"/>
      <c r="N68" s="117"/>
    </row>
    <row r="69" spans="1:14" x14ac:dyDescent="0.3">
      <c r="A69" s="60">
        <v>68</v>
      </c>
      <c r="B69" s="118" t="s">
        <v>152</v>
      </c>
      <c r="C69" s="10"/>
      <c r="D69" s="61" t="s">
        <v>177</v>
      </c>
      <c r="E69" s="59"/>
      <c r="F69" s="94" t="s">
        <v>176</v>
      </c>
      <c r="G69" s="94" t="s">
        <v>176</v>
      </c>
      <c r="H69" s="9" t="s">
        <v>175</v>
      </c>
      <c r="I69" s="77" t="s">
        <v>173</v>
      </c>
      <c r="J69" s="18" t="str">
        <f>IF(I69="Выключатель",CONCATENATE(H69," ",G69),CONCATENATE(H69," ",F69))</f>
        <v>СР 0,4 кВ УВР-2</v>
      </c>
      <c r="K69" s="61">
        <v>168</v>
      </c>
      <c r="L69" s="113" t="s">
        <v>159</v>
      </c>
      <c r="M69" s="108"/>
      <c r="N69" s="109"/>
    </row>
    <row r="70" spans="1:14" x14ac:dyDescent="0.3">
      <c r="A70" s="60">
        <v>69</v>
      </c>
      <c r="B70" s="118" t="s">
        <v>152</v>
      </c>
      <c r="C70" s="111"/>
      <c r="D70" s="61" t="s">
        <v>177</v>
      </c>
      <c r="E70" s="112"/>
      <c r="F70" s="94" t="s">
        <v>178</v>
      </c>
      <c r="G70" s="94" t="s">
        <v>178</v>
      </c>
      <c r="H70" s="114" t="s">
        <v>181</v>
      </c>
      <c r="I70" s="113" t="s">
        <v>156</v>
      </c>
      <c r="J70" s="115" t="str">
        <f>IF(I70="Выключатель",CONCATENATE(H70," ",G70),CONCATENATE(H70," ",F70))</f>
        <v>Открытие дверей РУ</v>
      </c>
      <c r="K70" s="61">
        <v>169</v>
      </c>
      <c r="L70" s="113" t="s">
        <v>159</v>
      </c>
      <c r="M70" s="116"/>
      <c r="N70" s="117"/>
    </row>
    <row r="71" spans="1:14" x14ac:dyDescent="0.3">
      <c r="A71" s="60">
        <v>70</v>
      </c>
      <c r="B71" s="118" t="s">
        <v>152</v>
      </c>
      <c r="C71" s="10"/>
      <c r="D71" s="61" t="s">
        <v>177</v>
      </c>
      <c r="E71" s="59"/>
      <c r="F71" s="94" t="s">
        <v>71</v>
      </c>
      <c r="G71" s="94" t="s">
        <v>71</v>
      </c>
      <c r="H71" s="114" t="s">
        <v>181</v>
      </c>
      <c r="I71" s="77" t="s">
        <v>156</v>
      </c>
      <c r="J71" s="18" t="str">
        <f t="shared" ref="J71:J73" si="11">IF(I71="Выключатель",CONCATENATE(H71," ",G71),CONCATENATE(H71," ",F71))</f>
        <v>Открытие дверей Т-1</v>
      </c>
      <c r="K71" s="61">
        <v>170</v>
      </c>
      <c r="L71" s="113" t="s">
        <v>159</v>
      </c>
      <c r="M71" s="108"/>
      <c r="N71" s="109"/>
    </row>
    <row r="72" spans="1:14" x14ac:dyDescent="0.3">
      <c r="A72" s="60">
        <v>71</v>
      </c>
      <c r="B72" s="118" t="s">
        <v>152</v>
      </c>
      <c r="C72" s="111"/>
      <c r="D72" s="61" t="s">
        <v>177</v>
      </c>
      <c r="E72" s="112"/>
      <c r="F72" s="94" t="s">
        <v>72</v>
      </c>
      <c r="G72" s="94" t="s">
        <v>72</v>
      </c>
      <c r="H72" s="114" t="s">
        <v>181</v>
      </c>
      <c r="I72" s="113" t="s">
        <v>156</v>
      </c>
      <c r="J72" s="18" t="str">
        <f t="shared" si="11"/>
        <v>Открытие дверей Т-2</v>
      </c>
      <c r="K72" s="61">
        <v>171</v>
      </c>
      <c r="L72" s="113" t="s">
        <v>159</v>
      </c>
      <c r="M72" s="108"/>
      <c r="N72" s="109"/>
    </row>
    <row r="73" spans="1:14" x14ac:dyDescent="0.3">
      <c r="A73" s="60">
        <v>72</v>
      </c>
      <c r="B73" s="118" t="s">
        <v>152</v>
      </c>
      <c r="C73" s="10"/>
      <c r="D73" s="61" t="s">
        <v>177</v>
      </c>
      <c r="E73" s="59"/>
      <c r="F73" s="94" t="s">
        <v>179</v>
      </c>
      <c r="G73" s="94" t="s">
        <v>179</v>
      </c>
      <c r="H73" s="114" t="s">
        <v>181</v>
      </c>
      <c r="I73" s="77" t="s">
        <v>156</v>
      </c>
      <c r="J73" s="18" t="str">
        <f t="shared" si="11"/>
        <v>Открытие дверей ШУ-1</v>
      </c>
      <c r="K73" s="61">
        <v>172</v>
      </c>
      <c r="L73" s="113" t="s">
        <v>159</v>
      </c>
      <c r="M73" s="108"/>
      <c r="N73" s="109"/>
    </row>
    <row r="74" spans="1:14" x14ac:dyDescent="0.3">
      <c r="A74" s="60">
        <v>73</v>
      </c>
      <c r="B74" s="118" t="s">
        <v>152</v>
      </c>
      <c r="C74" s="10"/>
      <c r="D74" s="61" t="s">
        <v>177</v>
      </c>
      <c r="E74" s="59"/>
      <c r="F74" s="94" t="s">
        <v>180</v>
      </c>
      <c r="G74" s="94" t="s">
        <v>180</v>
      </c>
      <c r="H74" s="114" t="s">
        <v>181</v>
      </c>
      <c r="I74" s="77" t="s">
        <v>156</v>
      </c>
      <c r="J74" s="115" t="str">
        <f>IF(I74="Выключатель",CONCATENATE(H74," ",G74),CONCATENATE(H74," ",F74))</f>
        <v>Открытие дверей ШУ-2</v>
      </c>
      <c r="K74" s="61">
        <v>173</v>
      </c>
      <c r="L74" s="113" t="s">
        <v>159</v>
      </c>
      <c r="M74" s="116"/>
      <c r="N74" s="117"/>
    </row>
    <row r="75" spans="1:14" x14ac:dyDescent="0.3">
      <c r="A75" s="60">
        <v>74</v>
      </c>
      <c r="B75" s="118" t="s">
        <v>152</v>
      </c>
      <c r="C75" s="10"/>
      <c r="D75" s="61" t="s">
        <v>177</v>
      </c>
      <c r="E75" s="59"/>
      <c r="F75" s="94" t="s">
        <v>182</v>
      </c>
      <c r="G75" s="94" t="s">
        <v>182</v>
      </c>
      <c r="H75" s="114" t="s">
        <v>183</v>
      </c>
      <c r="I75" s="77" t="s">
        <v>156</v>
      </c>
      <c r="J75" s="115" t="str">
        <f>IF(I75="Выключатель",CONCATENATE(H75," ",G75),CONCATENATE(H75," ",F75))</f>
        <v>Срабатывание ОПС</v>
      </c>
      <c r="K75" s="61">
        <v>174</v>
      </c>
      <c r="L75" s="113" t="s">
        <v>159</v>
      </c>
      <c r="M75" s="116"/>
      <c r="N75" s="117"/>
    </row>
    <row r="76" spans="1:14" x14ac:dyDescent="0.3">
      <c r="A76" s="60">
        <v>75</v>
      </c>
      <c r="B76" s="118" t="s">
        <v>152</v>
      </c>
      <c r="C76" s="10"/>
      <c r="D76" s="61" t="s">
        <v>177</v>
      </c>
      <c r="E76" s="59"/>
      <c r="F76" s="94" t="s">
        <v>182</v>
      </c>
      <c r="G76" s="94" t="s">
        <v>182</v>
      </c>
      <c r="H76" s="114" t="s">
        <v>184</v>
      </c>
      <c r="I76" s="77" t="s">
        <v>156</v>
      </c>
      <c r="J76" s="18" t="str">
        <f>IF(I76="Выключатель",CONCATENATE(H76," ",G76),CONCATENATE(H76," ",F76))</f>
        <v>Неисправность ОПС</v>
      </c>
      <c r="K76" s="61">
        <v>175</v>
      </c>
      <c r="L76" s="113" t="s">
        <v>159</v>
      </c>
      <c r="M76" s="108"/>
      <c r="N76" s="109"/>
    </row>
    <row r="77" spans="1:14" x14ac:dyDescent="0.3">
      <c r="A77" s="60">
        <v>76</v>
      </c>
      <c r="B77" s="118" t="s">
        <v>152</v>
      </c>
      <c r="C77" s="111"/>
      <c r="D77" s="61" t="s">
        <v>177</v>
      </c>
      <c r="E77" s="112"/>
      <c r="F77" s="94" t="s">
        <v>185</v>
      </c>
      <c r="G77" s="94" t="s">
        <v>185</v>
      </c>
      <c r="H77" s="114" t="s">
        <v>183</v>
      </c>
      <c r="I77" s="113" t="s">
        <v>156</v>
      </c>
      <c r="J77" s="115" t="s">
        <v>191</v>
      </c>
      <c r="K77" s="61">
        <v>176</v>
      </c>
      <c r="L77" s="113" t="s">
        <v>159</v>
      </c>
      <c r="M77" s="116"/>
      <c r="N77" s="117"/>
    </row>
    <row r="78" spans="1:14" x14ac:dyDescent="0.3">
      <c r="A78" s="60">
        <v>77</v>
      </c>
      <c r="B78" s="118" t="s">
        <v>152</v>
      </c>
      <c r="C78" s="10"/>
      <c r="D78" s="61" t="s">
        <v>177</v>
      </c>
      <c r="E78" s="59"/>
      <c r="F78" s="94" t="s">
        <v>186</v>
      </c>
      <c r="G78" s="94" t="s">
        <v>185</v>
      </c>
      <c r="H78" s="114" t="s">
        <v>190</v>
      </c>
      <c r="I78" s="77" t="s">
        <v>156</v>
      </c>
      <c r="J78" s="18" t="s">
        <v>190</v>
      </c>
      <c r="K78" s="61">
        <v>177</v>
      </c>
      <c r="L78" s="113" t="s">
        <v>159</v>
      </c>
      <c r="M78" s="108"/>
      <c r="N78" s="109"/>
    </row>
    <row r="79" spans="1:14" x14ac:dyDescent="0.3">
      <c r="A79" s="60">
        <v>78</v>
      </c>
      <c r="B79" s="118" t="s">
        <v>152</v>
      </c>
      <c r="C79" s="10"/>
      <c r="D79" s="61" t="s">
        <v>177</v>
      </c>
      <c r="E79" s="59"/>
      <c r="F79" s="94" t="s">
        <v>186</v>
      </c>
      <c r="G79" s="94" t="s">
        <v>185</v>
      </c>
      <c r="H79" s="114" t="s">
        <v>187</v>
      </c>
      <c r="I79" s="77" t="s">
        <v>156</v>
      </c>
      <c r="J79" s="18" t="s">
        <v>192</v>
      </c>
      <c r="K79" s="61">
        <v>178</v>
      </c>
      <c r="L79" s="113" t="s">
        <v>159</v>
      </c>
      <c r="M79" s="108"/>
      <c r="N79" s="109"/>
    </row>
    <row r="80" spans="1:14" x14ac:dyDescent="0.3">
      <c r="A80" s="60">
        <v>79</v>
      </c>
      <c r="B80" s="118" t="s">
        <v>152</v>
      </c>
      <c r="C80" s="10"/>
      <c r="D80" s="61" t="s">
        <v>177</v>
      </c>
      <c r="E80" s="59"/>
      <c r="F80" s="94" t="s">
        <v>186</v>
      </c>
      <c r="G80" s="94" t="s">
        <v>185</v>
      </c>
      <c r="H80" s="114" t="s">
        <v>188</v>
      </c>
      <c r="I80" s="77" t="s">
        <v>156</v>
      </c>
      <c r="J80" s="18" t="s">
        <v>188</v>
      </c>
      <c r="K80" s="61">
        <v>179</v>
      </c>
      <c r="L80" s="113" t="s">
        <v>159</v>
      </c>
      <c r="M80" s="108"/>
      <c r="N80" s="109"/>
    </row>
    <row r="81" spans="1:14" x14ac:dyDescent="0.3">
      <c r="A81" s="60">
        <v>80</v>
      </c>
      <c r="B81" s="118" t="s">
        <v>152</v>
      </c>
      <c r="C81" s="10"/>
      <c r="D81" s="61" t="s">
        <v>177</v>
      </c>
      <c r="E81" s="59"/>
      <c r="F81" s="94" t="s">
        <v>186</v>
      </c>
      <c r="G81" s="94" t="s">
        <v>185</v>
      </c>
      <c r="H81" s="114" t="s">
        <v>189</v>
      </c>
      <c r="I81" s="77" t="s">
        <v>156</v>
      </c>
      <c r="J81" s="18" t="s">
        <v>189</v>
      </c>
      <c r="K81" s="61">
        <v>180</v>
      </c>
      <c r="L81" s="113" t="s">
        <v>159</v>
      </c>
      <c r="M81" s="108"/>
      <c r="N81" s="109"/>
    </row>
    <row r="82" spans="1:14" x14ac:dyDescent="0.3">
      <c r="A82" s="60">
        <v>81</v>
      </c>
      <c r="B82" s="118" t="s">
        <v>152</v>
      </c>
      <c r="C82" s="10"/>
      <c r="D82" s="61" t="s">
        <v>177</v>
      </c>
      <c r="E82" s="59"/>
      <c r="F82" s="94" t="s">
        <v>129</v>
      </c>
      <c r="G82" s="94" t="s">
        <v>129</v>
      </c>
      <c r="H82" s="114" t="s">
        <v>193</v>
      </c>
      <c r="I82" s="77" t="s">
        <v>156</v>
      </c>
      <c r="J82" s="115" t="str">
        <f>IF(I82="Выключатель",CONCATENATE(H82," ",G82),CONCATENATE(H82," ",F82))</f>
        <v>Отключен ввод ШТМ</v>
      </c>
      <c r="K82" s="61">
        <v>181</v>
      </c>
      <c r="L82" s="113" t="s">
        <v>159</v>
      </c>
      <c r="M82" s="116"/>
      <c r="N82" s="117"/>
    </row>
    <row r="83" spans="1:14" x14ac:dyDescent="0.3">
      <c r="A83" s="60">
        <v>82</v>
      </c>
      <c r="B83" s="118" t="s">
        <v>152</v>
      </c>
      <c r="C83" s="10"/>
      <c r="D83" s="61" t="s">
        <v>177</v>
      </c>
      <c r="E83" s="59"/>
      <c r="F83" s="94" t="s">
        <v>129</v>
      </c>
      <c r="G83" s="94" t="s">
        <v>129</v>
      </c>
      <c r="H83" s="114" t="s">
        <v>194</v>
      </c>
      <c r="I83" s="77" t="s">
        <v>156</v>
      </c>
      <c r="J83" s="18" t="str">
        <f t="shared" ref="J83:J90" si="12">IF(I83="Выключатель",CONCATENATE(H83," ",G83),CONCATENATE(H83," ",F83))</f>
        <v>Отсутствие напряжения на вводе ШТМ</v>
      </c>
      <c r="K83" s="61">
        <v>182</v>
      </c>
      <c r="L83" s="113" t="s">
        <v>159</v>
      </c>
      <c r="M83" s="108"/>
      <c r="N83" s="109"/>
    </row>
    <row r="84" spans="1:14" x14ac:dyDescent="0.3">
      <c r="A84" s="60">
        <v>83</v>
      </c>
      <c r="B84" s="118" t="s">
        <v>152</v>
      </c>
      <c r="C84" s="10"/>
      <c r="D84" s="61" t="s">
        <v>177</v>
      </c>
      <c r="E84" s="59"/>
      <c r="F84" s="94" t="s">
        <v>129</v>
      </c>
      <c r="G84" s="94" t="s">
        <v>129</v>
      </c>
      <c r="H84" s="114" t="s">
        <v>195</v>
      </c>
      <c r="I84" s="77" t="s">
        <v>156</v>
      </c>
      <c r="J84" s="18" t="str">
        <f t="shared" si="12"/>
        <v>Открытие двери ШТМ</v>
      </c>
      <c r="K84" s="61">
        <v>183</v>
      </c>
      <c r="L84" s="113" t="s">
        <v>159</v>
      </c>
      <c r="M84" s="108"/>
      <c r="N84" s="109"/>
    </row>
    <row r="85" spans="1:14" x14ac:dyDescent="0.3">
      <c r="A85" s="60">
        <v>84</v>
      </c>
      <c r="B85" s="118" t="s">
        <v>152</v>
      </c>
      <c r="C85" s="10"/>
      <c r="D85" s="61" t="s">
        <v>177</v>
      </c>
      <c r="E85" s="59"/>
      <c r="F85" s="94" t="s">
        <v>129</v>
      </c>
      <c r="G85" s="94" t="s">
        <v>129</v>
      </c>
      <c r="H85" s="114" t="s">
        <v>187</v>
      </c>
      <c r="I85" s="77" t="s">
        <v>156</v>
      </c>
      <c r="J85" s="18" t="str">
        <f t="shared" si="12"/>
        <v>ТУ блокировано ШТМ</v>
      </c>
      <c r="K85" s="61">
        <v>184</v>
      </c>
      <c r="L85" s="113" t="s">
        <v>159</v>
      </c>
      <c r="M85" s="108"/>
      <c r="N85" s="109"/>
    </row>
    <row r="86" spans="1:14" x14ac:dyDescent="0.3">
      <c r="A86" s="60">
        <v>85</v>
      </c>
      <c r="B86" s="118" t="s">
        <v>152</v>
      </c>
      <c r="C86" s="111"/>
      <c r="D86" s="61" t="s">
        <v>177</v>
      </c>
      <c r="E86" s="112"/>
      <c r="F86" s="94" t="s">
        <v>129</v>
      </c>
      <c r="G86" s="94" t="s">
        <v>129</v>
      </c>
      <c r="H86" s="114" t="s">
        <v>196</v>
      </c>
      <c r="I86" s="113" t="s">
        <v>156</v>
      </c>
      <c r="J86" s="18" t="str">
        <f t="shared" si="12"/>
        <v>ИБП готов ШТМ</v>
      </c>
      <c r="K86" s="61">
        <v>185</v>
      </c>
      <c r="L86" s="113" t="s">
        <v>159</v>
      </c>
      <c r="M86" s="108"/>
      <c r="N86" s="109"/>
    </row>
    <row r="87" spans="1:14" x14ac:dyDescent="0.3">
      <c r="A87" s="60">
        <v>86</v>
      </c>
      <c r="B87" s="118" t="s">
        <v>152</v>
      </c>
      <c r="C87" s="10"/>
      <c r="D87" s="61" t="s">
        <v>177</v>
      </c>
      <c r="E87" s="59"/>
      <c r="F87" s="94" t="s">
        <v>129</v>
      </c>
      <c r="G87" s="94" t="s">
        <v>129</v>
      </c>
      <c r="H87" s="114" t="s">
        <v>197</v>
      </c>
      <c r="I87" s="77" t="s">
        <v>156</v>
      </c>
      <c r="J87" s="18" t="str">
        <f t="shared" si="12"/>
        <v>Работа от батареи ШТМ</v>
      </c>
      <c r="K87" s="61">
        <v>186</v>
      </c>
      <c r="L87" s="113" t="s">
        <v>159</v>
      </c>
      <c r="M87" s="108"/>
      <c r="N87" s="109"/>
    </row>
    <row r="88" spans="1:14" x14ac:dyDescent="0.3">
      <c r="A88" s="60">
        <v>87</v>
      </c>
      <c r="B88" s="118" t="s">
        <v>152</v>
      </c>
      <c r="C88" s="10"/>
      <c r="D88" s="61" t="s">
        <v>177</v>
      </c>
      <c r="E88" s="59"/>
      <c r="F88" s="94" t="s">
        <v>129</v>
      </c>
      <c r="G88" s="94" t="s">
        <v>129</v>
      </c>
      <c r="H88" s="114" t="s">
        <v>198</v>
      </c>
      <c r="I88" s="77" t="s">
        <v>156</v>
      </c>
      <c r="J88" s="18" t="str">
        <f t="shared" si="12"/>
        <v>Требуется замена батареи ШТМ</v>
      </c>
      <c r="K88" s="61">
        <v>187</v>
      </c>
      <c r="L88" s="113" t="s">
        <v>159</v>
      </c>
      <c r="M88" s="108"/>
      <c r="N88" s="109"/>
    </row>
    <row r="89" spans="1:14" x14ac:dyDescent="0.3">
      <c r="A89" s="60">
        <v>88</v>
      </c>
      <c r="B89" s="118" t="s">
        <v>157</v>
      </c>
      <c r="C89" s="10">
        <v>1</v>
      </c>
      <c r="D89" s="61" t="s">
        <v>158</v>
      </c>
      <c r="E89" s="59"/>
      <c r="F89" s="94" t="s">
        <v>35</v>
      </c>
      <c r="G89" s="94" t="s">
        <v>144</v>
      </c>
      <c r="H89" s="114" t="s">
        <v>202</v>
      </c>
      <c r="I89" s="77" t="s">
        <v>156</v>
      </c>
      <c r="J89" s="18" t="str">
        <f t="shared" si="12"/>
        <v>Отсутствие связи Flair23DM яч.1</v>
      </c>
      <c r="K89" s="61">
        <v>701</v>
      </c>
      <c r="L89" s="113" t="s">
        <v>159</v>
      </c>
      <c r="M89" s="108"/>
      <c r="N89" s="109"/>
    </row>
    <row r="90" spans="1:14" x14ac:dyDescent="0.3">
      <c r="A90" s="60">
        <v>89</v>
      </c>
      <c r="B90" s="118" t="s">
        <v>157</v>
      </c>
      <c r="C90" s="10">
        <v>2</v>
      </c>
      <c r="D90" s="61" t="s">
        <v>158</v>
      </c>
      <c r="E90" s="59"/>
      <c r="F90" s="94" t="s">
        <v>36</v>
      </c>
      <c r="G90" s="94" t="s">
        <v>207</v>
      </c>
      <c r="H90" s="114" t="s">
        <v>202</v>
      </c>
      <c r="I90" s="77" t="s">
        <v>156</v>
      </c>
      <c r="J90" s="18" t="str">
        <f t="shared" si="12"/>
        <v>Отсутствие связи Flair23DM яч.2</v>
      </c>
      <c r="K90" s="61">
        <v>702</v>
      </c>
      <c r="L90" s="113" t="s">
        <v>159</v>
      </c>
      <c r="M90" s="108"/>
      <c r="N90" s="109"/>
    </row>
    <row r="91" spans="1:14" x14ac:dyDescent="0.3">
      <c r="A91" s="60">
        <v>90</v>
      </c>
      <c r="B91" s="118" t="s">
        <v>157</v>
      </c>
      <c r="C91" s="10">
        <v>3</v>
      </c>
      <c r="D91" s="61" t="s">
        <v>158</v>
      </c>
      <c r="E91" s="59"/>
      <c r="F91" s="94" t="s">
        <v>160</v>
      </c>
      <c r="G91" s="94" t="s">
        <v>145</v>
      </c>
      <c r="H91" s="114" t="s">
        <v>202</v>
      </c>
      <c r="I91" s="77" t="s">
        <v>156</v>
      </c>
      <c r="J91" s="115" t="str">
        <f>IF(I91="Выключатель",CONCATENATE(H91," ",G91),CONCATENATE(H91," ",F91))</f>
        <v>Отсутствие связи Flair23DM яч.3</v>
      </c>
      <c r="K91" s="61">
        <v>703</v>
      </c>
      <c r="L91" s="113" t="s">
        <v>159</v>
      </c>
      <c r="M91" s="116"/>
      <c r="N91" s="117"/>
    </row>
    <row r="92" spans="1:14" x14ac:dyDescent="0.3">
      <c r="A92" s="60">
        <v>91</v>
      </c>
      <c r="B92" s="110" t="s">
        <v>165</v>
      </c>
      <c r="C92" s="111">
        <v>6</v>
      </c>
      <c r="D92" s="61" t="s">
        <v>158</v>
      </c>
      <c r="E92" s="112"/>
      <c r="F92" s="94" t="s">
        <v>163</v>
      </c>
      <c r="G92" s="113" t="s">
        <v>146</v>
      </c>
      <c r="H92" s="114" t="s">
        <v>203</v>
      </c>
      <c r="I92" s="77" t="s">
        <v>156</v>
      </c>
      <c r="J92" s="115" t="str">
        <f>IF(I92="Выключатель",CONCATENATE(H92," ",G92),CONCATENATE(H92," ",F92))</f>
        <v>Отсутствие связи VIP410E яч.6</v>
      </c>
      <c r="K92" s="61">
        <v>704</v>
      </c>
      <c r="L92" s="113" t="s">
        <v>159</v>
      </c>
      <c r="M92" s="116"/>
      <c r="N92" s="117"/>
    </row>
    <row r="93" spans="1:14" x14ac:dyDescent="0.3">
      <c r="A93" s="60">
        <v>92</v>
      </c>
      <c r="B93" s="118" t="s">
        <v>157</v>
      </c>
      <c r="C93" s="10">
        <v>8</v>
      </c>
      <c r="D93" s="61" t="s">
        <v>158</v>
      </c>
      <c r="E93" s="59"/>
      <c r="F93" s="94" t="s">
        <v>67</v>
      </c>
      <c r="G93" s="94" t="s">
        <v>147</v>
      </c>
      <c r="H93" s="114" t="s">
        <v>202</v>
      </c>
      <c r="I93" s="77" t="s">
        <v>156</v>
      </c>
      <c r="J93" s="115" t="str">
        <f>IF(I93="Выключатель",CONCATENATE(H93," ",G93),CONCATENATE(H93," ",F93))</f>
        <v>Отсутствие связи Flair23DM яч.8</v>
      </c>
      <c r="K93" s="61">
        <v>705</v>
      </c>
      <c r="L93" s="113" t="s">
        <v>159</v>
      </c>
      <c r="M93" s="116"/>
      <c r="N93" s="117"/>
    </row>
    <row r="94" spans="1:14" x14ac:dyDescent="0.3">
      <c r="A94" s="60">
        <v>93</v>
      </c>
      <c r="B94" s="110" t="s">
        <v>165</v>
      </c>
      <c r="C94" s="111">
        <v>9</v>
      </c>
      <c r="D94" s="61" t="s">
        <v>158</v>
      </c>
      <c r="E94" s="112"/>
      <c r="F94" s="94" t="s">
        <v>68</v>
      </c>
      <c r="G94" s="113" t="s">
        <v>148</v>
      </c>
      <c r="H94" s="114" t="s">
        <v>203</v>
      </c>
      <c r="I94" s="77" t="s">
        <v>156</v>
      </c>
      <c r="J94" s="115" t="str">
        <f>IF(I94="Выключатель",CONCATENATE(H94," ",G94),CONCATENATE(H94," ",F94))</f>
        <v>Отсутствие связи VIP410E яч.9</v>
      </c>
      <c r="K94" s="61">
        <v>706</v>
      </c>
      <c r="L94" s="113" t="s">
        <v>159</v>
      </c>
      <c r="M94" s="116"/>
      <c r="N94" s="117"/>
    </row>
    <row r="95" spans="1:14" x14ac:dyDescent="0.3">
      <c r="A95" s="60">
        <v>94</v>
      </c>
      <c r="B95" s="118" t="s">
        <v>157</v>
      </c>
      <c r="C95" s="10">
        <v>12</v>
      </c>
      <c r="D95" s="61" t="s">
        <v>158</v>
      </c>
      <c r="E95" s="59"/>
      <c r="F95" s="94" t="s">
        <v>70</v>
      </c>
      <c r="G95" s="94" t="s">
        <v>149</v>
      </c>
      <c r="H95" s="114" t="s">
        <v>202</v>
      </c>
      <c r="I95" s="77" t="s">
        <v>156</v>
      </c>
      <c r="J95" s="115" t="str">
        <f>IF(I95="Выключатель",CONCATENATE(H95," ",G95),CONCATENATE(H95," ",F95))</f>
        <v>Отсутствие связи Flair23DM яч.12</v>
      </c>
      <c r="K95" s="61">
        <v>707</v>
      </c>
      <c r="L95" s="113" t="s">
        <v>159</v>
      </c>
      <c r="M95" s="116"/>
      <c r="N95" s="117"/>
    </row>
    <row r="96" spans="1:14" x14ac:dyDescent="0.3">
      <c r="A96" s="60">
        <v>95</v>
      </c>
      <c r="B96" s="118" t="s">
        <v>157</v>
      </c>
      <c r="C96" s="10">
        <v>13</v>
      </c>
      <c r="D96" s="61" t="s">
        <v>158</v>
      </c>
      <c r="E96" s="59"/>
      <c r="F96" s="94" t="s">
        <v>141</v>
      </c>
      <c r="G96" s="94" t="s">
        <v>206</v>
      </c>
      <c r="H96" s="114" t="s">
        <v>202</v>
      </c>
      <c r="I96" s="77" t="s">
        <v>156</v>
      </c>
      <c r="J96" s="18" t="str">
        <f t="shared" ref="J96:J97" si="13">IF(I96="Выключатель",CONCATENATE(H96," ",G96),CONCATENATE(H96," ",F96))</f>
        <v>Отсутствие связи Flair23DM яч.13</v>
      </c>
      <c r="K96" s="61">
        <v>708</v>
      </c>
      <c r="L96" s="113" t="s">
        <v>159</v>
      </c>
      <c r="M96" s="108"/>
      <c r="N96" s="109"/>
    </row>
    <row r="97" spans="1:14" x14ac:dyDescent="0.3">
      <c r="A97" s="60">
        <v>96</v>
      </c>
      <c r="B97" s="118" t="s">
        <v>157</v>
      </c>
      <c r="C97" s="10">
        <v>14</v>
      </c>
      <c r="D97" s="61" t="s">
        <v>158</v>
      </c>
      <c r="E97" s="59"/>
      <c r="F97" s="94" t="s">
        <v>142</v>
      </c>
      <c r="G97" s="94" t="s">
        <v>150</v>
      </c>
      <c r="H97" s="114" t="s">
        <v>202</v>
      </c>
      <c r="I97" s="77" t="s">
        <v>156</v>
      </c>
      <c r="J97" s="18" t="str">
        <f t="shared" si="13"/>
        <v>Отсутствие связи Flair23DM яч.14</v>
      </c>
      <c r="K97" s="61">
        <v>709</v>
      </c>
      <c r="L97" s="113" t="s">
        <v>159</v>
      </c>
      <c r="M97" s="108"/>
      <c r="N97" s="109"/>
    </row>
    <row r="98" spans="1:14" x14ac:dyDescent="0.3">
      <c r="A98" s="60">
        <v>97</v>
      </c>
      <c r="B98" s="110" t="s">
        <v>199</v>
      </c>
      <c r="C98" s="111"/>
      <c r="D98" s="15" t="s">
        <v>158</v>
      </c>
      <c r="E98" s="112"/>
      <c r="F98" s="94" t="s">
        <v>179</v>
      </c>
      <c r="G98" s="113" t="s">
        <v>200</v>
      </c>
      <c r="H98" s="114" t="s">
        <v>204</v>
      </c>
      <c r="I98" s="77" t="s">
        <v>156</v>
      </c>
      <c r="J98" s="115" t="str">
        <f>IF(I98="Выключатель",CONCATENATE(H98," ",G98),CONCATENATE(H98," ",F98))</f>
        <v>Отсутствие связи СЭТ4ТМ ШУ-1</v>
      </c>
      <c r="K98" s="61">
        <v>710</v>
      </c>
      <c r="L98" s="113" t="s">
        <v>159</v>
      </c>
      <c r="M98" s="116"/>
      <c r="N98" s="117"/>
    </row>
    <row r="99" spans="1:14" x14ac:dyDescent="0.3">
      <c r="A99" s="60">
        <v>98</v>
      </c>
      <c r="B99" s="110" t="s">
        <v>199</v>
      </c>
      <c r="C99" s="111"/>
      <c r="D99" s="15" t="s">
        <v>158</v>
      </c>
      <c r="E99" s="112"/>
      <c r="F99" s="94" t="s">
        <v>180</v>
      </c>
      <c r="G99" s="113" t="s">
        <v>201</v>
      </c>
      <c r="H99" s="114" t="s">
        <v>204</v>
      </c>
      <c r="I99" s="77" t="s">
        <v>156</v>
      </c>
      <c r="J99" s="115" t="str">
        <f>IF(I99="Выключатель",CONCATENATE(H99," ",G99),CONCATENATE(H99," ",F99))</f>
        <v>Отсутствие связи СЭТ4ТМ ШУ-2</v>
      </c>
      <c r="K99" s="61">
        <v>711</v>
      </c>
      <c r="L99" s="113" t="s">
        <v>159</v>
      </c>
      <c r="M99" s="116"/>
      <c r="N99" s="117"/>
    </row>
    <row r="100" spans="1:14" x14ac:dyDescent="0.3">
      <c r="A100" s="2"/>
      <c r="B100" s="2"/>
    </row>
    <row r="101" spans="1:14" x14ac:dyDescent="0.3">
      <c r="A101" s="2"/>
      <c r="B101" s="2"/>
    </row>
    <row r="102" spans="1:14" x14ac:dyDescent="0.3">
      <c r="A102" s="2"/>
      <c r="B102" s="2"/>
    </row>
    <row r="103" spans="1:14" x14ac:dyDescent="0.3">
      <c r="A103" s="2"/>
      <c r="B103" s="2"/>
    </row>
    <row r="104" spans="1:14" x14ac:dyDescent="0.3">
      <c r="A104" s="2"/>
      <c r="B104" s="2"/>
    </row>
    <row r="105" spans="1:14" x14ac:dyDescent="0.3">
      <c r="A105" s="2"/>
      <c r="B105" s="2"/>
    </row>
    <row r="106" spans="1:14" x14ac:dyDescent="0.3">
      <c r="A106" s="2"/>
      <c r="B106" s="2"/>
    </row>
    <row r="107" spans="1:14" x14ac:dyDescent="0.3">
      <c r="A107" s="2"/>
      <c r="B107" s="2"/>
    </row>
    <row r="108" spans="1:14" x14ac:dyDescent="0.3">
      <c r="A108" s="2"/>
      <c r="B108" s="2"/>
    </row>
    <row r="109" spans="1:14" x14ac:dyDescent="0.3">
      <c r="A109" s="2"/>
      <c r="B109" s="2"/>
    </row>
    <row r="110" spans="1:14" x14ac:dyDescent="0.3">
      <c r="A110" s="2"/>
      <c r="B110" s="2"/>
    </row>
    <row r="111" spans="1:14" x14ac:dyDescent="0.3">
      <c r="A111" s="2"/>
      <c r="B111" s="2"/>
    </row>
    <row r="112" spans="1:14" x14ac:dyDescent="0.3">
      <c r="A112" s="2"/>
      <c r="B112" s="2"/>
    </row>
    <row r="113" spans="1:2" x14ac:dyDescent="0.3">
      <c r="A113" s="2"/>
      <c r="B113" s="2"/>
    </row>
    <row r="114" spans="1:2" x14ac:dyDescent="0.3">
      <c r="A114" s="2"/>
      <c r="B114" s="2"/>
    </row>
    <row r="115" spans="1:2" x14ac:dyDescent="0.3">
      <c r="A115" s="2"/>
      <c r="B115" s="2"/>
    </row>
    <row r="116" spans="1:2" x14ac:dyDescent="0.3">
      <c r="A116" s="2"/>
      <c r="B116" s="2"/>
    </row>
    <row r="117" spans="1:2" x14ac:dyDescent="0.3">
      <c r="A117" s="2"/>
      <c r="B117" s="2"/>
    </row>
    <row r="118" spans="1:2" x14ac:dyDescent="0.3">
      <c r="A118" s="2"/>
      <c r="B118" s="2"/>
    </row>
    <row r="119" spans="1:2" x14ac:dyDescent="0.3">
      <c r="A119" s="2"/>
      <c r="B119" s="2"/>
    </row>
    <row r="120" spans="1:2" x14ac:dyDescent="0.3">
      <c r="A120" s="2"/>
      <c r="B120" s="2"/>
    </row>
    <row r="121" spans="1:2" x14ac:dyDescent="0.3">
      <c r="A121" s="2"/>
      <c r="B121" s="2"/>
    </row>
    <row r="122" spans="1:2" x14ac:dyDescent="0.3">
      <c r="A122" s="2"/>
      <c r="B122" s="2"/>
    </row>
    <row r="123" spans="1:2" x14ac:dyDescent="0.3">
      <c r="A123" s="2"/>
      <c r="B123" s="2"/>
    </row>
    <row r="124" spans="1:2" x14ac:dyDescent="0.3">
      <c r="A124" s="2"/>
      <c r="B124" s="2"/>
    </row>
    <row r="125" spans="1:2" x14ac:dyDescent="0.3">
      <c r="A125" s="2"/>
      <c r="B125" s="2"/>
    </row>
    <row r="126" spans="1:2" x14ac:dyDescent="0.3">
      <c r="A126" s="2"/>
      <c r="B126" s="2"/>
    </row>
    <row r="127" spans="1:2" x14ac:dyDescent="0.3">
      <c r="A127" s="2"/>
      <c r="B127" s="2"/>
    </row>
    <row r="128" spans="1:2" x14ac:dyDescent="0.3">
      <c r="A128" s="2"/>
      <c r="B128" s="2"/>
    </row>
    <row r="129" spans="1:2" x14ac:dyDescent="0.3">
      <c r="A129" s="2"/>
      <c r="B129" s="2"/>
    </row>
    <row r="130" spans="1:2" x14ac:dyDescent="0.3">
      <c r="A130" s="2"/>
      <c r="B130" s="2"/>
    </row>
    <row r="131" spans="1:2" x14ac:dyDescent="0.3">
      <c r="A131" s="2"/>
      <c r="B131" s="2"/>
    </row>
    <row r="132" spans="1:2" x14ac:dyDescent="0.3">
      <c r="A132" s="2"/>
      <c r="B132" s="2"/>
    </row>
    <row r="133" spans="1:2" x14ac:dyDescent="0.3">
      <c r="A133" s="2"/>
      <c r="B133" s="2"/>
    </row>
    <row r="134" spans="1:2" x14ac:dyDescent="0.3">
      <c r="A134" s="2"/>
      <c r="B134" s="2"/>
    </row>
    <row r="135" spans="1:2" x14ac:dyDescent="0.3">
      <c r="A135" s="2"/>
      <c r="B135" s="2"/>
    </row>
    <row r="136" spans="1:2" x14ac:dyDescent="0.3">
      <c r="A136" s="2"/>
      <c r="B136" s="2"/>
    </row>
    <row r="137" spans="1:2" x14ac:dyDescent="0.3">
      <c r="A137" s="2"/>
      <c r="B137" s="2"/>
    </row>
    <row r="138" spans="1:2" x14ac:dyDescent="0.3">
      <c r="A138" s="2"/>
      <c r="B138" s="2"/>
    </row>
    <row r="139" spans="1:2" x14ac:dyDescent="0.3">
      <c r="A139" s="2"/>
      <c r="B139" s="2"/>
    </row>
    <row r="140" spans="1:2" x14ac:dyDescent="0.3">
      <c r="A140" s="2"/>
      <c r="B140" s="2"/>
    </row>
    <row r="141" spans="1:2" x14ac:dyDescent="0.3">
      <c r="A141" s="2"/>
      <c r="B141" s="2"/>
    </row>
    <row r="142" spans="1:2" x14ac:dyDescent="0.3">
      <c r="A142" s="2"/>
      <c r="B142" s="2"/>
    </row>
    <row r="143" spans="1:2" x14ac:dyDescent="0.3">
      <c r="A143" s="2"/>
      <c r="B143" s="2"/>
    </row>
    <row r="144" spans="1:2" x14ac:dyDescent="0.3">
      <c r="A144" s="2"/>
      <c r="B144" s="2"/>
    </row>
    <row r="145" spans="1:2" x14ac:dyDescent="0.3">
      <c r="A145" s="2"/>
      <c r="B145" s="2"/>
    </row>
    <row r="146" spans="1:2" x14ac:dyDescent="0.3">
      <c r="A146" s="2"/>
      <c r="B146" s="2"/>
    </row>
    <row r="147" spans="1:2" x14ac:dyDescent="0.3">
      <c r="A147" s="2"/>
      <c r="B147" s="2"/>
    </row>
    <row r="148" spans="1:2" x14ac:dyDescent="0.3">
      <c r="A148" s="2"/>
      <c r="B148" s="2"/>
    </row>
    <row r="149" spans="1:2" x14ac:dyDescent="0.3">
      <c r="A149" s="2"/>
      <c r="B149" s="2"/>
    </row>
    <row r="150" spans="1:2" x14ac:dyDescent="0.3">
      <c r="A150" s="2"/>
      <c r="B150" s="2"/>
    </row>
    <row r="151" spans="1:2" x14ac:dyDescent="0.3">
      <c r="A151" s="2"/>
      <c r="B151" s="2"/>
    </row>
    <row r="152" spans="1:2" x14ac:dyDescent="0.3">
      <c r="A152" s="2"/>
      <c r="B152" s="2"/>
    </row>
    <row r="153" spans="1:2" x14ac:dyDescent="0.3">
      <c r="A153" s="2"/>
      <c r="B153" s="2"/>
    </row>
    <row r="154" spans="1:2" x14ac:dyDescent="0.3">
      <c r="A154" s="2"/>
      <c r="B154" s="2"/>
    </row>
    <row r="155" spans="1:2" x14ac:dyDescent="0.3">
      <c r="A155" s="2"/>
      <c r="B155" s="2"/>
    </row>
    <row r="156" spans="1:2" x14ac:dyDescent="0.3">
      <c r="A156" s="2"/>
      <c r="B156" s="2"/>
    </row>
    <row r="157" spans="1:2" x14ac:dyDescent="0.3">
      <c r="A157" s="2"/>
      <c r="B157" s="2"/>
    </row>
    <row r="158" spans="1:2" x14ac:dyDescent="0.3">
      <c r="A158" s="2"/>
      <c r="B158" s="2"/>
    </row>
    <row r="159" spans="1:2" x14ac:dyDescent="0.3">
      <c r="A159" s="2"/>
      <c r="B159" s="2"/>
    </row>
    <row r="160" spans="1:2" x14ac:dyDescent="0.3">
      <c r="A160" s="2"/>
      <c r="B160" s="2"/>
    </row>
    <row r="161" spans="1:2" x14ac:dyDescent="0.3">
      <c r="A161" s="2"/>
      <c r="B161" s="2"/>
    </row>
    <row r="162" spans="1:2" x14ac:dyDescent="0.3">
      <c r="A162" s="2"/>
      <c r="B162" s="2"/>
    </row>
    <row r="163" spans="1:2" x14ac:dyDescent="0.3">
      <c r="A163" s="2"/>
      <c r="B163" s="2"/>
    </row>
    <row r="164" spans="1:2" x14ac:dyDescent="0.3">
      <c r="A164" s="2"/>
      <c r="B164" s="2"/>
    </row>
    <row r="165" spans="1:2" x14ac:dyDescent="0.3">
      <c r="A165" s="2"/>
      <c r="B165" s="2"/>
    </row>
    <row r="166" spans="1:2" x14ac:dyDescent="0.3">
      <c r="A166" s="2"/>
      <c r="B166" s="2"/>
    </row>
    <row r="167" spans="1:2" x14ac:dyDescent="0.3">
      <c r="A167" s="2"/>
      <c r="B167" s="2"/>
    </row>
    <row r="168" spans="1:2" x14ac:dyDescent="0.3">
      <c r="A168" s="2"/>
      <c r="B168" s="2"/>
    </row>
    <row r="169" spans="1:2" x14ac:dyDescent="0.3">
      <c r="A169" s="2"/>
      <c r="B169" s="2"/>
    </row>
    <row r="170" spans="1:2" x14ac:dyDescent="0.3">
      <c r="A170" s="2"/>
      <c r="B170" s="2"/>
    </row>
    <row r="171" spans="1:2" x14ac:dyDescent="0.3">
      <c r="A171" s="2"/>
      <c r="B171" s="2"/>
    </row>
    <row r="172" spans="1:2" x14ac:dyDescent="0.3">
      <c r="A172" s="2"/>
      <c r="B172" s="2"/>
    </row>
    <row r="173" spans="1:2" x14ac:dyDescent="0.3">
      <c r="A173" s="2"/>
      <c r="B173" s="2"/>
    </row>
    <row r="174" spans="1:2" x14ac:dyDescent="0.3">
      <c r="A174" s="2"/>
      <c r="B174" s="2"/>
    </row>
    <row r="175" spans="1:2" x14ac:dyDescent="0.3">
      <c r="A175" s="2"/>
      <c r="B175" s="2"/>
    </row>
    <row r="176" spans="1:2" x14ac:dyDescent="0.3">
      <c r="A176" s="2"/>
      <c r="B176" s="2"/>
    </row>
    <row r="177" spans="1:2" x14ac:dyDescent="0.3">
      <c r="A177" s="2"/>
      <c r="B177" s="2"/>
    </row>
    <row r="178" spans="1:2" x14ac:dyDescent="0.3">
      <c r="A178" s="2"/>
      <c r="B178" s="2"/>
    </row>
    <row r="179" spans="1:2" x14ac:dyDescent="0.3">
      <c r="A179" s="2"/>
      <c r="B179" s="2"/>
    </row>
    <row r="180" spans="1:2" x14ac:dyDescent="0.3">
      <c r="A180" s="2"/>
      <c r="B180" s="2"/>
    </row>
    <row r="181" spans="1:2" x14ac:dyDescent="0.3">
      <c r="A181" s="2"/>
      <c r="B181" s="2"/>
    </row>
    <row r="182" spans="1:2" x14ac:dyDescent="0.3">
      <c r="A182" s="2"/>
      <c r="B182" s="2"/>
    </row>
    <row r="183" spans="1:2" x14ac:dyDescent="0.3">
      <c r="A183" s="2"/>
      <c r="B183" s="2"/>
    </row>
    <row r="184" spans="1:2" x14ac:dyDescent="0.3">
      <c r="A184" s="2"/>
      <c r="B184" s="2"/>
    </row>
    <row r="185" spans="1:2" x14ac:dyDescent="0.3">
      <c r="A185" s="2"/>
      <c r="B185" s="2"/>
    </row>
    <row r="186" spans="1:2" x14ac:dyDescent="0.3">
      <c r="A186" s="2"/>
      <c r="B186" s="2"/>
    </row>
    <row r="187" spans="1:2" x14ac:dyDescent="0.3">
      <c r="A187" s="2"/>
      <c r="B187" s="2"/>
    </row>
    <row r="188" spans="1:2" x14ac:dyDescent="0.3">
      <c r="A188" s="2"/>
      <c r="B188" s="2"/>
    </row>
    <row r="189" spans="1:2" x14ac:dyDescent="0.3">
      <c r="A189" s="2"/>
      <c r="B189" s="2"/>
    </row>
    <row r="190" spans="1:2" x14ac:dyDescent="0.3">
      <c r="A190" s="2"/>
      <c r="B190" s="2"/>
    </row>
    <row r="191" spans="1:2" x14ac:dyDescent="0.3">
      <c r="A191" s="2"/>
      <c r="B191" s="2"/>
    </row>
    <row r="192" spans="1:2" x14ac:dyDescent="0.3">
      <c r="A192" s="2"/>
      <c r="B192" s="2"/>
    </row>
    <row r="193" spans="1:2" x14ac:dyDescent="0.3">
      <c r="A193" s="2"/>
      <c r="B193" s="2"/>
    </row>
    <row r="194" spans="1:2" x14ac:dyDescent="0.3">
      <c r="A194" s="2"/>
      <c r="B194" s="2"/>
    </row>
    <row r="195" spans="1:2" x14ac:dyDescent="0.3">
      <c r="A195" s="2"/>
      <c r="B195" s="2"/>
    </row>
    <row r="196" spans="1:2" x14ac:dyDescent="0.3">
      <c r="A196" s="2"/>
      <c r="B196" s="2"/>
    </row>
    <row r="197" spans="1:2" x14ac:dyDescent="0.3">
      <c r="A197" s="2"/>
      <c r="B197" s="2"/>
    </row>
    <row r="198" spans="1:2" x14ac:dyDescent="0.3">
      <c r="A198" s="2"/>
      <c r="B198" s="2"/>
    </row>
    <row r="199" spans="1:2" x14ac:dyDescent="0.3">
      <c r="A199" s="2"/>
      <c r="B199" s="2"/>
    </row>
    <row r="200" spans="1:2" x14ac:dyDescent="0.3">
      <c r="A200" s="2"/>
      <c r="B200" s="2"/>
    </row>
    <row r="201" spans="1:2" x14ac:dyDescent="0.3">
      <c r="A201" s="2"/>
      <c r="B201" s="2"/>
    </row>
    <row r="202" spans="1:2" x14ac:dyDescent="0.3">
      <c r="A202" s="2"/>
      <c r="B202" s="2"/>
    </row>
    <row r="203" spans="1:2" x14ac:dyDescent="0.3">
      <c r="A203" s="2"/>
      <c r="B203" s="2"/>
    </row>
    <row r="204" spans="1:2" x14ac:dyDescent="0.3">
      <c r="A204" s="2"/>
      <c r="B204" s="2"/>
    </row>
    <row r="205" spans="1:2" x14ac:dyDescent="0.3">
      <c r="A205" s="2"/>
      <c r="B205" s="2"/>
    </row>
    <row r="206" spans="1:2" x14ac:dyDescent="0.3">
      <c r="A206" s="2"/>
      <c r="B206" s="2"/>
    </row>
    <row r="207" spans="1:2" x14ac:dyDescent="0.3">
      <c r="A207" s="2"/>
      <c r="B207" s="2"/>
    </row>
    <row r="208" spans="1:2" x14ac:dyDescent="0.3">
      <c r="A208" s="2"/>
      <c r="B208" s="2"/>
    </row>
    <row r="209" spans="1:2" x14ac:dyDescent="0.3">
      <c r="A209" s="2"/>
      <c r="B209" s="2"/>
    </row>
    <row r="210" spans="1:2" x14ac:dyDescent="0.3">
      <c r="A210" s="2"/>
      <c r="B210" s="2"/>
    </row>
    <row r="211" spans="1:2" x14ac:dyDescent="0.3">
      <c r="A211" s="2"/>
      <c r="B211" s="2"/>
    </row>
    <row r="212" spans="1:2" x14ac:dyDescent="0.3">
      <c r="A212" s="2"/>
      <c r="B212" s="2"/>
    </row>
    <row r="213" spans="1:2" x14ac:dyDescent="0.3">
      <c r="A213" s="2"/>
      <c r="B213" s="2"/>
    </row>
    <row r="214" spans="1:2" x14ac:dyDescent="0.3">
      <c r="A214" s="2"/>
      <c r="B214" s="2"/>
    </row>
    <row r="215" spans="1:2" x14ac:dyDescent="0.3">
      <c r="A215" s="2"/>
      <c r="B215" s="2"/>
    </row>
    <row r="216" spans="1:2" x14ac:dyDescent="0.3">
      <c r="A216" s="2"/>
      <c r="B216" s="2"/>
    </row>
    <row r="217" spans="1:2" x14ac:dyDescent="0.3">
      <c r="A217" s="2"/>
      <c r="B217" s="2"/>
    </row>
    <row r="218" spans="1:2" x14ac:dyDescent="0.3">
      <c r="A218" s="2"/>
      <c r="B218" s="2"/>
    </row>
    <row r="219" spans="1:2" x14ac:dyDescent="0.3">
      <c r="A219" s="2"/>
      <c r="B219" s="2"/>
    </row>
    <row r="220" spans="1:2" x14ac:dyDescent="0.3">
      <c r="A220" s="2"/>
      <c r="B220" s="2"/>
    </row>
    <row r="221" spans="1:2" x14ac:dyDescent="0.3">
      <c r="A221" s="2"/>
      <c r="B221" s="2"/>
    </row>
    <row r="222" spans="1:2" x14ac:dyDescent="0.3">
      <c r="A222" s="2"/>
      <c r="B222" s="2"/>
    </row>
    <row r="223" spans="1:2" x14ac:dyDescent="0.3">
      <c r="A223" s="2"/>
      <c r="B223" s="2"/>
    </row>
    <row r="224" spans="1:2" x14ac:dyDescent="0.3">
      <c r="A224" s="2"/>
      <c r="B224" s="2"/>
    </row>
    <row r="225" spans="1:2" x14ac:dyDescent="0.3">
      <c r="A225" s="2"/>
      <c r="B225" s="2"/>
    </row>
    <row r="226" spans="1:2" x14ac:dyDescent="0.3">
      <c r="A226" s="2"/>
      <c r="B226" s="2"/>
    </row>
    <row r="227" spans="1:2" x14ac:dyDescent="0.3">
      <c r="A227" s="2"/>
      <c r="B227" s="2"/>
    </row>
    <row r="228" spans="1:2" x14ac:dyDescent="0.3">
      <c r="A228" s="2"/>
      <c r="B228" s="2"/>
    </row>
    <row r="229" spans="1:2" x14ac:dyDescent="0.3">
      <c r="A229" s="2"/>
      <c r="B229" s="2"/>
    </row>
    <row r="230" spans="1:2" x14ac:dyDescent="0.3">
      <c r="A230" s="2"/>
      <c r="B230" s="2"/>
    </row>
    <row r="231" spans="1:2" x14ac:dyDescent="0.3">
      <c r="A231" s="2"/>
      <c r="B231" s="2"/>
    </row>
    <row r="232" spans="1:2" x14ac:dyDescent="0.3">
      <c r="A232" s="2"/>
      <c r="B232" s="2"/>
    </row>
    <row r="233" spans="1:2" x14ac:dyDescent="0.3">
      <c r="A233" s="2"/>
      <c r="B233" s="2"/>
    </row>
    <row r="234" spans="1:2" x14ac:dyDescent="0.3">
      <c r="A234" s="2"/>
      <c r="B234" s="2"/>
    </row>
    <row r="235" spans="1:2" x14ac:dyDescent="0.3">
      <c r="A235" s="2"/>
      <c r="B235" s="2"/>
    </row>
    <row r="236" spans="1:2" x14ac:dyDescent="0.3">
      <c r="A236" s="2"/>
      <c r="B236" s="2"/>
    </row>
    <row r="237" spans="1:2" x14ac:dyDescent="0.3">
      <c r="A237" s="2"/>
      <c r="B237" s="2"/>
    </row>
    <row r="238" spans="1:2" x14ac:dyDescent="0.3">
      <c r="A238" s="2"/>
      <c r="B238" s="2"/>
    </row>
    <row r="239" spans="1:2" x14ac:dyDescent="0.3">
      <c r="A239" s="2"/>
      <c r="B239" s="2"/>
    </row>
    <row r="240" spans="1:2" x14ac:dyDescent="0.3">
      <c r="A240" s="2"/>
      <c r="B240" s="2"/>
    </row>
    <row r="241" spans="1:2" x14ac:dyDescent="0.3">
      <c r="A241" s="2"/>
      <c r="B241" s="2"/>
    </row>
    <row r="242" spans="1:2" x14ac:dyDescent="0.3">
      <c r="A242" s="2"/>
      <c r="B242" s="2"/>
    </row>
    <row r="243" spans="1:2" x14ac:dyDescent="0.3">
      <c r="A243" s="2"/>
      <c r="B243" s="2"/>
    </row>
    <row r="244" spans="1:2" x14ac:dyDescent="0.3">
      <c r="A244" s="2"/>
      <c r="B244" s="2"/>
    </row>
    <row r="245" spans="1:2" x14ac:dyDescent="0.3">
      <c r="A245" s="2"/>
      <c r="B245" s="2"/>
    </row>
    <row r="246" spans="1:2" x14ac:dyDescent="0.3">
      <c r="A246" s="2"/>
      <c r="B246" s="2"/>
    </row>
    <row r="247" spans="1:2" x14ac:dyDescent="0.3">
      <c r="A247" s="2"/>
      <c r="B247" s="2"/>
    </row>
    <row r="248" spans="1:2" x14ac:dyDescent="0.3">
      <c r="A248" s="2"/>
      <c r="B248" s="2"/>
    </row>
    <row r="249" spans="1:2" x14ac:dyDescent="0.3">
      <c r="A249" s="2"/>
      <c r="B249" s="2"/>
    </row>
    <row r="250" spans="1:2" x14ac:dyDescent="0.3">
      <c r="A250" s="2"/>
      <c r="B250" s="2"/>
    </row>
    <row r="251" spans="1:2" x14ac:dyDescent="0.3">
      <c r="A251" s="2"/>
      <c r="B251" s="2"/>
    </row>
    <row r="252" spans="1:2" x14ac:dyDescent="0.3">
      <c r="A252" s="2"/>
      <c r="B252" s="2"/>
    </row>
    <row r="253" spans="1:2" x14ac:dyDescent="0.3">
      <c r="A253" s="2"/>
      <c r="B253" s="2"/>
    </row>
    <row r="254" spans="1:2" x14ac:dyDescent="0.3">
      <c r="A254" s="2"/>
      <c r="B254" s="2"/>
    </row>
    <row r="255" spans="1:2" x14ac:dyDescent="0.3">
      <c r="A255" s="2"/>
      <c r="B255" s="2"/>
    </row>
    <row r="256" spans="1:2" x14ac:dyDescent="0.3">
      <c r="A256" s="2"/>
      <c r="B256" s="2"/>
    </row>
    <row r="257" spans="1:2" x14ac:dyDescent="0.3">
      <c r="A257" s="2"/>
      <c r="B257" s="2"/>
    </row>
    <row r="258" spans="1:2" x14ac:dyDescent="0.3">
      <c r="A258" s="2"/>
      <c r="B258" s="2"/>
    </row>
    <row r="259" spans="1:2" x14ac:dyDescent="0.3">
      <c r="A259" s="2"/>
      <c r="B259" s="2"/>
    </row>
    <row r="260" spans="1:2" x14ac:dyDescent="0.3">
      <c r="A260" s="2"/>
      <c r="B260" s="2"/>
    </row>
    <row r="261" spans="1:2" x14ac:dyDescent="0.3">
      <c r="A261" s="2"/>
      <c r="B261" s="2"/>
    </row>
    <row r="262" spans="1:2" x14ac:dyDescent="0.3">
      <c r="A262" s="2"/>
      <c r="B262" s="2"/>
    </row>
    <row r="263" spans="1:2" x14ac:dyDescent="0.3">
      <c r="A263" s="2"/>
      <c r="B263" s="2"/>
    </row>
    <row r="264" spans="1:2" x14ac:dyDescent="0.3">
      <c r="A264" s="2"/>
      <c r="B264" s="2"/>
    </row>
    <row r="265" spans="1:2" x14ac:dyDescent="0.3">
      <c r="A265" s="2"/>
      <c r="B265" s="2"/>
    </row>
    <row r="266" spans="1:2" x14ac:dyDescent="0.3">
      <c r="A266" s="2"/>
      <c r="B266" s="2"/>
    </row>
    <row r="267" spans="1:2" x14ac:dyDescent="0.3">
      <c r="A267" s="2"/>
      <c r="B267" s="2"/>
    </row>
    <row r="268" spans="1:2" x14ac:dyDescent="0.3">
      <c r="A268" s="2"/>
      <c r="B268" s="2"/>
    </row>
    <row r="269" spans="1:2" x14ac:dyDescent="0.3">
      <c r="A269" s="2"/>
      <c r="B269" s="2"/>
    </row>
    <row r="270" spans="1:2" x14ac:dyDescent="0.3">
      <c r="A270" s="2"/>
      <c r="B270" s="2"/>
    </row>
    <row r="271" spans="1:2" x14ac:dyDescent="0.3">
      <c r="A271" s="2"/>
      <c r="B271" s="2"/>
    </row>
    <row r="272" spans="1:2" x14ac:dyDescent="0.3">
      <c r="A272" s="2"/>
      <c r="B272" s="2"/>
    </row>
    <row r="273" spans="1:2" x14ac:dyDescent="0.3">
      <c r="A273" s="2"/>
      <c r="B273" s="2"/>
    </row>
    <row r="274" spans="1:2" x14ac:dyDescent="0.3">
      <c r="A274" s="2"/>
      <c r="B274" s="2"/>
    </row>
    <row r="275" spans="1:2" x14ac:dyDescent="0.3">
      <c r="A275" s="2"/>
      <c r="B275" s="2"/>
    </row>
    <row r="276" spans="1:2" x14ac:dyDescent="0.3">
      <c r="A276" s="2"/>
      <c r="B276" s="2"/>
    </row>
    <row r="277" spans="1:2" x14ac:dyDescent="0.3">
      <c r="A277" s="2"/>
      <c r="B277" s="2"/>
    </row>
    <row r="278" spans="1:2" x14ac:dyDescent="0.3">
      <c r="A278" s="2"/>
      <c r="B278" s="2"/>
    </row>
    <row r="279" spans="1:2" x14ac:dyDescent="0.3">
      <c r="A279" s="2"/>
      <c r="B279" s="2"/>
    </row>
    <row r="280" spans="1:2" x14ac:dyDescent="0.3">
      <c r="A280" s="2"/>
      <c r="B280" s="2"/>
    </row>
    <row r="281" spans="1:2" x14ac:dyDescent="0.3">
      <c r="A281" s="2"/>
      <c r="B281" s="2"/>
    </row>
    <row r="282" spans="1:2" x14ac:dyDescent="0.3">
      <c r="A282" s="2"/>
      <c r="B282" s="2"/>
    </row>
    <row r="283" spans="1:2" x14ac:dyDescent="0.3">
      <c r="A283" s="2"/>
      <c r="B283" s="2"/>
    </row>
    <row r="284" spans="1:2" x14ac:dyDescent="0.3">
      <c r="A284" s="2"/>
      <c r="B284" s="2"/>
    </row>
    <row r="285" spans="1:2" x14ac:dyDescent="0.3">
      <c r="A285" s="2"/>
      <c r="B285" s="2"/>
    </row>
    <row r="286" spans="1:2" x14ac:dyDescent="0.3">
      <c r="A286" s="2"/>
      <c r="B286" s="2"/>
    </row>
    <row r="287" spans="1:2" x14ac:dyDescent="0.3">
      <c r="A287" s="2"/>
      <c r="B287" s="2"/>
    </row>
    <row r="288" spans="1:2" x14ac:dyDescent="0.3">
      <c r="A288" s="2"/>
      <c r="B288" s="2"/>
    </row>
    <row r="289" spans="1:2" x14ac:dyDescent="0.3">
      <c r="A289" s="2"/>
      <c r="B289" s="2"/>
    </row>
    <row r="290" spans="1:2" x14ac:dyDescent="0.3">
      <c r="A290" s="2"/>
      <c r="B290" s="2"/>
    </row>
    <row r="291" spans="1:2" x14ac:dyDescent="0.3">
      <c r="A291" s="2"/>
      <c r="B291" s="2"/>
    </row>
    <row r="292" spans="1:2" x14ac:dyDescent="0.3">
      <c r="A292" s="2"/>
      <c r="B292" s="2"/>
    </row>
    <row r="293" spans="1:2" x14ac:dyDescent="0.3">
      <c r="A293" s="2"/>
      <c r="B293" s="2"/>
    </row>
    <row r="294" spans="1:2" x14ac:dyDescent="0.3">
      <c r="A294" s="2"/>
      <c r="B294" s="2"/>
    </row>
    <row r="295" spans="1:2" x14ac:dyDescent="0.3">
      <c r="A295" s="2"/>
      <c r="B295" s="2"/>
    </row>
    <row r="296" spans="1:2" x14ac:dyDescent="0.3">
      <c r="A296" s="2"/>
      <c r="B296" s="2"/>
    </row>
    <row r="297" spans="1:2" x14ac:dyDescent="0.3">
      <c r="A297" s="2"/>
      <c r="B297" s="2"/>
    </row>
    <row r="298" spans="1:2" x14ac:dyDescent="0.3">
      <c r="A298" s="2"/>
      <c r="B298" s="2"/>
    </row>
    <row r="299" spans="1:2" x14ac:dyDescent="0.3">
      <c r="A299" s="2"/>
      <c r="B299" s="2"/>
    </row>
    <row r="300" spans="1:2" x14ac:dyDescent="0.3">
      <c r="A300" s="2"/>
      <c r="B300" s="2"/>
    </row>
    <row r="301" spans="1:2" x14ac:dyDescent="0.3">
      <c r="A301" s="2"/>
      <c r="B301" s="2"/>
    </row>
    <row r="302" spans="1:2" x14ac:dyDescent="0.3">
      <c r="A302" s="2"/>
      <c r="B302" s="2"/>
    </row>
    <row r="303" spans="1:2" x14ac:dyDescent="0.3">
      <c r="A303" s="2"/>
      <c r="B303" s="2"/>
    </row>
    <row r="304" spans="1:2" x14ac:dyDescent="0.3">
      <c r="A304" s="2"/>
      <c r="B304" s="2"/>
    </row>
    <row r="305" spans="1:2" x14ac:dyDescent="0.3">
      <c r="A305" s="2"/>
      <c r="B305" s="2"/>
    </row>
    <row r="306" spans="1:2" x14ac:dyDescent="0.3">
      <c r="A306" s="2"/>
      <c r="B306" s="2"/>
    </row>
    <row r="307" spans="1:2" x14ac:dyDescent="0.3">
      <c r="A307" s="2"/>
      <c r="B307" s="2"/>
    </row>
    <row r="308" spans="1:2" x14ac:dyDescent="0.3">
      <c r="A308" s="2"/>
      <c r="B308" s="2"/>
    </row>
    <row r="309" spans="1:2" x14ac:dyDescent="0.3">
      <c r="A309" s="2"/>
      <c r="B309" s="2"/>
    </row>
    <row r="310" spans="1:2" x14ac:dyDescent="0.3">
      <c r="A310" s="2"/>
      <c r="B310" s="2"/>
    </row>
    <row r="311" spans="1:2" x14ac:dyDescent="0.3">
      <c r="A311" s="2"/>
      <c r="B311" s="2"/>
    </row>
    <row r="312" spans="1:2" x14ac:dyDescent="0.3">
      <c r="A312" s="2"/>
      <c r="B312" s="2"/>
    </row>
    <row r="313" spans="1:2" x14ac:dyDescent="0.3">
      <c r="A313" s="2"/>
      <c r="B313" s="2"/>
    </row>
    <row r="314" spans="1:2" x14ac:dyDescent="0.3">
      <c r="A314" s="2"/>
      <c r="B314" s="2"/>
    </row>
    <row r="315" spans="1:2" x14ac:dyDescent="0.3">
      <c r="A315" s="2"/>
      <c r="B315" s="2"/>
    </row>
    <row r="316" spans="1:2" x14ac:dyDescent="0.3">
      <c r="A316" s="2"/>
      <c r="B316" s="2"/>
    </row>
    <row r="317" spans="1:2" x14ac:dyDescent="0.3">
      <c r="A317" s="2"/>
      <c r="B317" s="2"/>
    </row>
    <row r="318" spans="1:2" x14ac:dyDescent="0.3">
      <c r="A318" s="2"/>
      <c r="B318" s="2"/>
    </row>
    <row r="319" spans="1:2" x14ac:dyDescent="0.3">
      <c r="A319" s="2"/>
      <c r="B319" s="2"/>
    </row>
    <row r="320" spans="1:2" x14ac:dyDescent="0.3">
      <c r="A320" s="2"/>
      <c r="B320" s="2"/>
    </row>
    <row r="321" spans="1:2" x14ac:dyDescent="0.3">
      <c r="A321" s="2"/>
      <c r="B321" s="2"/>
    </row>
    <row r="322" spans="1:2" x14ac:dyDescent="0.3">
      <c r="A322" s="2"/>
      <c r="B322" s="2"/>
    </row>
    <row r="323" spans="1:2" x14ac:dyDescent="0.3">
      <c r="A323" s="2"/>
      <c r="B323" s="2"/>
    </row>
    <row r="324" spans="1:2" x14ac:dyDescent="0.3">
      <c r="A324" s="2"/>
      <c r="B324" s="2"/>
    </row>
    <row r="325" spans="1:2" x14ac:dyDescent="0.3">
      <c r="A325" s="2"/>
      <c r="B325" s="2"/>
    </row>
    <row r="326" spans="1:2" x14ac:dyDescent="0.3">
      <c r="A326" s="2"/>
      <c r="B326" s="2"/>
    </row>
    <row r="327" spans="1:2" x14ac:dyDescent="0.3">
      <c r="A327" s="2"/>
      <c r="B327" s="2"/>
    </row>
    <row r="328" spans="1:2" x14ac:dyDescent="0.3">
      <c r="A328" s="2"/>
      <c r="B328" s="2"/>
    </row>
    <row r="329" spans="1:2" x14ac:dyDescent="0.3">
      <c r="A329" s="2"/>
      <c r="B329" s="2"/>
    </row>
    <row r="330" spans="1:2" x14ac:dyDescent="0.3">
      <c r="A330" s="2"/>
      <c r="B330" s="2"/>
    </row>
    <row r="331" spans="1:2" x14ac:dyDescent="0.3">
      <c r="A331" s="2"/>
      <c r="B331" s="2"/>
    </row>
    <row r="332" spans="1:2" x14ac:dyDescent="0.3">
      <c r="A332" s="2"/>
      <c r="B332" s="2"/>
    </row>
    <row r="333" spans="1:2" x14ac:dyDescent="0.3">
      <c r="A333" s="2"/>
      <c r="B333" s="2"/>
    </row>
    <row r="334" spans="1:2" x14ac:dyDescent="0.3">
      <c r="A334" s="2"/>
      <c r="B334" s="2"/>
    </row>
    <row r="335" spans="1:2" x14ac:dyDescent="0.3">
      <c r="A335" s="2"/>
      <c r="B335" s="2"/>
    </row>
    <row r="336" spans="1:2" x14ac:dyDescent="0.3">
      <c r="A336" s="2"/>
      <c r="B336" s="2"/>
    </row>
    <row r="337" spans="1:2" x14ac:dyDescent="0.3">
      <c r="A337" s="2"/>
      <c r="B337" s="2"/>
    </row>
    <row r="338" spans="1:2" x14ac:dyDescent="0.3">
      <c r="A338" s="2"/>
      <c r="B338" s="2"/>
    </row>
    <row r="339" spans="1:2" x14ac:dyDescent="0.3">
      <c r="A339" s="2"/>
      <c r="B339" s="2"/>
    </row>
    <row r="340" spans="1:2" x14ac:dyDescent="0.3">
      <c r="A340" s="2"/>
      <c r="B340" s="2"/>
    </row>
    <row r="341" spans="1:2" x14ac:dyDescent="0.3">
      <c r="A341" s="2"/>
      <c r="B341" s="2"/>
    </row>
    <row r="342" spans="1:2" x14ac:dyDescent="0.3">
      <c r="A342" s="2"/>
      <c r="B342" s="2"/>
    </row>
    <row r="343" spans="1:2" x14ac:dyDescent="0.3">
      <c r="A343" s="2"/>
      <c r="B343" s="2"/>
    </row>
    <row r="344" spans="1:2" x14ac:dyDescent="0.3">
      <c r="A344" s="2"/>
      <c r="B344" s="2"/>
    </row>
    <row r="345" spans="1:2" x14ac:dyDescent="0.3">
      <c r="A345" s="2"/>
      <c r="B345" s="2"/>
    </row>
    <row r="346" spans="1:2" x14ac:dyDescent="0.3">
      <c r="A346" s="2"/>
      <c r="B346" s="2"/>
    </row>
    <row r="347" spans="1:2" x14ac:dyDescent="0.3">
      <c r="A347" s="2"/>
      <c r="B347" s="2"/>
    </row>
    <row r="348" spans="1:2" x14ac:dyDescent="0.3">
      <c r="A348" s="2"/>
      <c r="B348" s="2"/>
    </row>
    <row r="349" spans="1:2" x14ac:dyDescent="0.3">
      <c r="A349" s="2"/>
      <c r="B349" s="2"/>
    </row>
    <row r="350" spans="1:2" x14ac:dyDescent="0.3">
      <c r="A350" s="2"/>
      <c r="B350" s="2"/>
    </row>
    <row r="351" spans="1:2" x14ac:dyDescent="0.3">
      <c r="A351" s="2"/>
      <c r="B351" s="2"/>
    </row>
    <row r="352" spans="1:2" x14ac:dyDescent="0.3">
      <c r="A352" s="2"/>
      <c r="B352" s="2"/>
    </row>
    <row r="353" spans="1:2" x14ac:dyDescent="0.3">
      <c r="A353" s="2"/>
      <c r="B353" s="2"/>
    </row>
    <row r="354" spans="1:2" x14ac:dyDescent="0.3">
      <c r="A354" s="2"/>
      <c r="B354" s="2"/>
    </row>
    <row r="355" spans="1:2" x14ac:dyDescent="0.3">
      <c r="A355" s="2"/>
      <c r="B355" s="2"/>
    </row>
    <row r="356" spans="1:2" x14ac:dyDescent="0.3">
      <c r="A356" s="2"/>
      <c r="B356" s="2"/>
    </row>
    <row r="357" spans="1:2" x14ac:dyDescent="0.3">
      <c r="A357" s="2"/>
      <c r="B357" s="2"/>
    </row>
    <row r="358" spans="1:2" x14ac:dyDescent="0.3">
      <c r="A358" s="2"/>
      <c r="B358" s="2"/>
    </row>
    <row r="359" spans="1:2" x14ac:dyDescent="0.3">
      <c r="A359" s="2"/>
      <c r="B359" s="2"/>
    </row>
    <row r="360" spans="1:2" x14ac:dyDescent="0.3">
      <c r="A360" s="2"/>
      <c r="B360" s="2"/>
    </row>
    <row r="361" spans="1:2" x14ac:dyDescent="0.3">
      <c r="A361" s="2"/>
      <c r="B361" s="2"/>
    </row>
    <row r="362" spans="1:2" x14ac:dyDescent="0.3">
      <c r="A362" s="2"/>
      <c r="B362" s="2"/>
    </row>
    <row r="363" spans="1:2" x14ac:dyDescent="0.3">
      <c r="A363" s="2"/>
      <c r="B363" s="2"/>
    </row>
    <row r="364" spans="1:2" x14ac:dyDescent="0.3">
      <c r="A364" s="2"/>
      <c r="B364" s="2"/>
    </row>
    <row r="365" spans="1:2" x14ac:dyDescent="0.3">
      <c r="A365" s="2"/>
      <c r="B365" s="2"/>
    </row>
    <row r="366" spans="1:2" x14ac:dyDescent="0.3">
      <c r="A366" s="2"/>
      <c r="B366" s="2"/>
    </row>
    <row r="367" spans="1:2" x14ac:dyDescent="0.3">
      <c r="A367" s="2"/>
      <c r="B367" s="2"/>
    </row>
    <row r="368" spans="1:2" x14ac:dyDescent="0.3">
      <c r="A368" s="2"/>
      <c r="B368" s="2"/>
    </row>
    <row r="369" spans="1:2" x14ac:dyDescent="0.3">
      <c r="A369" s="2"/>
      <c r="B369" s="2"/>
    </row>
    <row r="370" spans="1:2" x14ac:dyDescent="0.3">
      <c r="A370" s="2"/>
      <c r="B370" s="2"/>
    </row>
    <row r="371" spans="1:2" x14ac:dyDescent="0.3">
      <c r="A371" s="2"/>
      <c r="B371" s="2"/>
    </row>
    <row r="372" spans="1:2" x14ac:dyDescent="0.3">
      <c r="A372" s="2"/>
      <c r="B372" s="2"/>
    </row>
    <row r="373" spans="1:2" x14ac:dyDescent="0.3">
      <c r="A373" s="2"/>
      <c r="B373" s="2"/>
    </row>
    <row r="374" spans="1:2" x14ac:dyDescent="0.3">
      <c r="A374" s="2"/>
      <c r="B374" s="2"/>
    </row>
    <row r="375" spans="1:2" x14ac:dyDescent="0.3">
      <c r="A375" s="2"/>
      <c r="B375" s="2"/>
    </row>
    <row r="376" spans="1:2" x14ac:dyDescent="0.3">
      <c r="A376" s="2"/>
      <c r="B376" s="2"/>
    </row>
    <row r="377" spans="1:2" x14ac:dyDescent="0.3">
      <c r="A377" s="2"/>
      <c r="B377" s="2"/>
    </row>
    <row r="378" spans="1:2" x14ac:dyDescent="0.3">
      <c r="A378" s="2"/>
      <c r="B378" s="2"/>
    </row>
    <row r="379" spans="1:2" x14ac:dyDescent="0.3">
      <c r="A379" s="2"/>
      <c r="B379" s="2"/>
    </row>
    <row r="380" spans="1:2" x14ac:dyDescent="0.3">
      <c r="A380" s="2"/>
      <c r="B380" s="2"/>
    </row>
    <row r="381" spans="1:2" x14ac:dyDescent="0.3">
      <c r="A381" s="2"/>
      <c r="B381" s="2"/>
    </row>
    <row r="382" spans="1:2" x14ac:dyDescent="0.3">
      <c r="A382" s="2"/>
      <c r="B382" s="2"/>
    </row>
    <row r="383" spans="1:2" x14ac:dyDescent="0.3">
      <c r="A383" s="2"/>
      <c r="B383" s="2"/>
    </row>
    <row r="384" spans="1:2" x14ac:dyDescent="0.3">
      <c r="A384" s="2"/>
      <c r="B384" s="2"/>
    </row>
    <row r="385" spans="1:2" x14ac:dyDescent="0.3">
      <c r="A385" s="2"/>
      <c r="B385" s="2"/>
    </row>
    <row r="386" spans="1:2" x14ac:dyDescent="0.3">
      <c r="A386" s="2"/>
      <c r="B386" s="2"/>
    </row>
    <row r="387" spans="1:2" x14ac:dyDescent="0.3">
      <c r="A387" s="2"/>
      <c r="B387" s="2"/>
    </row>
    <row r="388" spans="1:2" x14ac:dyDescent="0.3">
      <c r="A388" s="2"/>
      <c r="B388" s="2"/>
    </row>
    <row r="389" spans="1:2" x14ac:dyDescent="0.3">
      <c r="A389" s="2"/>
      <c r="B389" s="2"/>
    </row>
    <row r="390" spans="1:2" x14ac:dyDescent="0.3">
      <c r="A390" s="2"/>
      <c r="B390" s="2"/>
    </row>
    <row r="391" spans="1:2" x14ac:dyDescent="0.3">
      <c r="A391" s="2"/>
      <c r="B391" s="2"/>
    </row>
    <row r="392" spans="1:2" x14ac:dyDescent="0.3">
      <c r="A392" s="2"/>
      <c r="B392" s="2"/>
    </row>
    <row r="393" spans="1:2" x14ac:dyDescent="0.3">
      <c r="A393" s="2"/>
      <c r="B393" s="2"/>
    </row>
    <row r="394" spans="1:2" x14ac:dyDescent="0.3">
      <c r="A394" s="2"/>
      <c r="B394" s="2"/>
    </row>
    <row r="395" spans="1:2" x14ac:dyDescent="0.3">
      <c r="A395" s="2"/>
      <c r="B395" s="2"/>
    </row>
    <row r="396" spans="1:2" x14ac:dyDescent="0.3">
      <c r="A396" s="2"/>
      <c r="B396" s="2"/>
    </row>
    <row r="397" spans="1:2" x14ac:dyDescent="0.3">
      <c r="A397" s="2"/>
      <c r="B397" s="2"/>
    </row>
    <row r="398" spans="1:2" x14ac:dyDescent="0.3">
      <c r="A398" s="2"/>
      <c r="B398" s="2"/>
    </row>
    <row r="399" spans="1:2" x14ac:dyDescent="0.3">
      <c r="A399" s="2"/>
      <c r="B399" s="2"/>
    </row>
    <row r="400" spans="1:2" x14ac:dyDescent="0.3">
      <c r="A400" s="2"/>
      <c r="B400" s="2"/>
    </row>
    <row r="401" spans="1:2" x14ac:dyDescent="0.3">
      <c r="A401" s="2"/>
      <c r="B401" s="2"/>
    </row>
    <row r="402" spans="1:2" x14ac:dyDescent="0.3">
      <c r="A402" s="2"/>
      <c r="B402" s="2"/>
    </row>
    <row r="403" spans="1:2" x14ac:dyDescent="0.3">
      <c r="A403" s="2"/>
      <c r="B403" s="2"/>
    </row>
    <row r="404" spans="1:2" x14ac:dyDescent="0.3">
      <c r="A404" s="2"/>
      <c r="B404" s="2"/>
    </row>
    <row r="405" spans="1:2" x14ac:dyDescent="0.3">
      <c r="A405" s="2"/>
      <c r="B405" s="2"/>
    </row>
    <row r="406" spans="1:2" x14ac:dyDescent="0.3">
      <c r="A406" s="2"/>
      <c r="B406" s="2"/>
    </row>
    <row r="407" spans="1:2" x14ac:dyDescent="0.3">
      <c r="A407" s="2"/>
      <c r="B407" s="2"/>
    </row>
    <row r="408" spans="1:2" x14ac:dyDescent="0.3">
      <c r="A408" s="2"/>
      <c r="B408" s="2"/>
    </row>
    <row r="409" spans="1:2" x14ac:dyDescent="0.3">
      <c r="A409" s="2"/>
      <c r="B409" s="2"/>
    </row>
    <row r="410" spans="1:2" x14ac:dyDescent="0.3">
      <c r="A410" s="2"/>
      <c r="B410" s="2"/>
    </row>
    <row r="411" spans="1:2" x14ac:dyDescent="0.3">
      <c r="A411" s="2"/>
      <c r="B411" s="2"/>
    </row>
    <row r="412" spans="1:2" x14ac:dyDescent="0.3">
      <c r="A412" s="2"/>
      <c r="B412" s="2"/>
    </row>
    <row r="413" spans="1:2" x14ac:dyDescent="0.3">
      <c r="A413" s="2"/>
      <c r="B413" s="2"/>
    </row>
    <row r="414" spans="1:2" x14ac:dyDescent="0.3">
      <c r="A414" s="2"/>
      <c r="B414" s="2"/>
    </row>
    <row r="415" spans="1:2" x14ac:dyDescent="0.3">
      <c r="A415" s="2"/>
      <c r="B415" s="2"/>
    </row>
    <row r="416" spans="1:2" x14ac:dyDescent="0.3">
      <c r="A416" s="2"/>
      <c r="B416" s="2"/>
    </row>
    <row r="417" spans="1:2" x14ac:dyDescent="0.3">
      <c r="A417" s="2"/>
      <c r="B417" s="2"/>
    </row>
    <row r="418" spans="1:2" x14ac:dyDescent="0.3">
      <c r="A418" s="2"/>
      <c r="B418" s="2"/>
    </row>
    <row r="419" spans="1:2" x14ac:dyDescent="0.3">
      <c r="A419" s="2"/>
      <c r="B419" s="2"/>
    </row>
    <row r="420" spans="1:2" x14ac:dyDescent="0.3">
      <c r="A420" s="2"/>
      <c r="B420" s="2"/>
    </row>
    <row r="421" spans="1:2" x14ac:dyDescent="0.3">
      <c r="A421" s="2"/>
      <c r="B421" s="2"/>
    </row>
    <row r="422" spans="1:2" x14ac:dyDescent="0.3">
      <c r="A422" s="2"/>
      <c r="B422" s="2"/>
    </row>
    <row r="423" spans="1:2" x14ac:dyDescent="0.3">
      <c r="A423" s="2"/>
      <c r="B423" s="2"/>
    </row>
    <row r="424" spans="1:2" x14ac:dyDescent="0.3">
      <c r="A424" s="2"/>
      <c r="B424" s="2"/>
    </row>
    <row r="425" spans="1:2" x14ac:dyDescent="0.3">
      <c r="A425" s="2"/>
      <c r="B425" s="2"/>
    </row>
    <row r="426" spans="1:2" x14ac:dyDescent="0.3">
      <c r="A426" s="2"/>
      <c r="B426" s="2"/>
    </row>
    <row r="427" spans="1:2" x14ac:dyDescent="0.3">
      <c r="A427" s="2"/>
      <c r="B427" s="2"/>
    </row>
    <row r="428" spans="1:2" x14ac:dyDescent="0.3">
      <c r="A428" s="2"/>
      <c r="B428" s="2"/>
    </row>
    <row r="429" spans="1:2" x14ac:dyDescent="0.3">
      <c r="A429" s="2"/>
      <c r="B429" s="2"/>
    </row>
    <row r="430" spans="1:2" x14ac:dyDescent="0.3">
      <c r="A430" s="2"/>
      <c r="B430" s="2"/>
    </row>
    <row r="431" spans="1:2" x14ac:dyDescent="0.3">
      <c r="A431" s="2"/>
      <c r="B431" s="2"/>
    </row>
    <row r="432" spans="1:2" x14ac:dyDescent="0.3">
      <c r="A432" s="2"/>
      <c r="B432" s="2"/>
    </row>
    <row r="433" spans="1:2" x14ac:dyDescent="0.3">
      <c r="A433" s="2"/>
      <c r="B433" s="2"/>
    </row>
    <row r="434" spans="1:2" x14ac:dyDescent="0.3">
      <c r="A434" s="2"/>
      <c r="B434" s="2"/>
    </row>
    <row r="435" spans="1:2" x14ac:dyDescent="0.3">
      <c r="A435" s="2"/>
      <c r="B435" s="2"/>
    </row>
    <row r="436" spans="1:2" x14ac:dyDescent="0.3">
      <c r="A436" s="2"/>
      <c r="B436" s="2"/>
    </row>
    <row r="437" spans="1:2" x14ac:dyDescent="0.3">
      <c r="A437" s="2"/>
      <c r="B437" s="2"/>
    </row>
    <row r="438" spans="1:2" x14ac:dyDescent="0.3">
      <c r="A438" s="2"/>
      <c r="B438" s="2"/>
    </row>
    <row r="439" spans="1:2" x14ac:dyDescent="0.3">
      <c r="A439" s="2"/>
      <c r="B439" s="2"/>
    </row>
    <row r="440" spans="1:2" x14ac:dyDescent="0.3">
      <c r="A440" s="2"/>
      <c r="B440" s="2"/>
    </row>
    <row r="441" spans="1:2" x14ac:dyDescent="0.3">
      <c r="A441" s="2"/>
      <c r="B441" s="2"/>
    </row>
    <row r="442" spans="1:2" x14ac:dyDescent="0.3">
      <c r="A442" s="2"/>
      <c r="B442" s="2"/>
    </row>
    <row r="443" spans="1:2" x14ac:dyDescent="0.3">
      <c r="A443" s="2"/>
      <c r="B443" s="2"/>
    </row>
    <row r="444" spans="1:2" x14ac:dyDescent="0.3">
      <c r="A444" s="2"/>
      <c r="B444" s="2"/>
    </row>
    <row r="445" spans="1:2" x14ac:dyDescent="0.3">
      <c r="A445" s="2"/>
      <c r="B445" s="2"/>
    </row>
    <row r="446" spans="1:2" x14ac:dyDescent="0.3">
      <c r="A446" s="2"/>
      <c r="B446" s="2"/>
    </row>
    <row r="447" spans="1:2" x14ac:dyDescent="0.3">
      <c r="A447" s="2"/>
      <c r="B447" s="2"/>
    </row>
    <row r="448" spans="1:2" x14ac:dyDescent="0.3">
      <c r="A448" s="2"/>
      <c r="B448" s="2"/>
    </row>
    <row r="449" spans="1:2" x14ac:dyDescent="0.3">
      <c r="A449" s="2"/>
      <c r="B449" s="2"/>
    </row>
    <row r="450" spans="1:2" x14ac:dyDescent="0.3">
      <c r="A450" s="2"/>
      <c r="B450" s="2"/>
    </row>
    <row r="451" spans="1:2" x14ac:dyDescent="0.3">
      <c r="A451" s="2"/>
      <c r="B451" s="2"/>
    </row>
    <row r="452" spans="1:2" x14ac:dyDescent="0.3">
      <c r="A452" s="2"/>
      <c r="B452" s="2"/>
    </row>
    <row r="453" spans="1:2" x14ac:dyDescent="0.3">
      <c r="A453" s="2"/>
      <c r="B453" s="2"/>
    </row>
    <row r="454" spans="1:2" x14ac:dyDescent="0.3">
      <c r="A454" s="2"/>
      <c r="B454" s="2"/>
    </row>
    <row r="455" spans="1:2" x14ac:dyDescent="0.3">
      <c r="A455" s="2"/>
      <c r="B455" s="2"/>
    </row>
    <row r="456" spans="1:2" x14ac:dyDescent="0.3">
      <c r="A456" s="2"/>
      <c r="B456" s="2"/>
    </row>
    <row r="457" spans="1:2" x14ac:dyDescent="0.3">
      <c r="A457" s="2"/>
      <c r="B457" s="2"/>
    </row>
    <row r="458" spans="1:2" x14ac:dyDescent="0.3">
      <c r="A458" s="2"/>
      <c r="B458" s="2"/>
    </row>
    <row r="459" spans="1:2" x14ac:dyDescent="0.3">
      <c r="A459" s="2"/>
      <c r="B459" s="2"/>
    </row>
    <row r="460" spans="1:2" x14ac:dyDescent="0.3">
      <c r="A460" s="2"/>
      <c r="B460" s="2"/>
    </row>
    <row r="461" spans="1:2" x14ac:dyDescent="0.3">
      <c r="A461" s="2"/>
      <c r="B461" s="2"/>
    </row>
    <row r="462" spans="1:2" x14ac:dyDescent="0.3">
      <c r="A462" s="2"/>
      <c r="B462" s="2"/>
    </row>
    <row r="463" spans="1:2" x14ac:dyDescent="0.3">
      <c r="A463" s="2"/>
      <c r="B463" s="2"/>
    </row>
    <row r="464" spans="1:2" x14ac:dyDescent="0.3">
      <c r="A464" s="2"/>
      <c r="B464" s="2"/>
    </row>
    <row r="465" spans="1:2" x14ac:dyDescent="0.3">
      <c r="A465" s="2"/>
      <c r="B465" s="2"/>
    </row>
    <row r="466" spans="1:2" x14ac:dyDescent="0.3">
      <c r="A466" s="2"/>
      <c r="B466" s="2"/>
    </row>
    <row r="467" spans="1:2" x14ac:dyDescent="0.3">
      <c r="A467" s="2"/>
      <c r="B467" s="2"/>
    </row>
    <row r="468" spans="1:2" x14ac:dyDescent="0.3">
      <c r="A468" s="2"/>
      <c r="B468" s="2"/>
    </row>
    <row r="469" spans="1:2" x14ac:dyDescent="0.3">
      <c r="A469" s="2"/>
      <c r="B469" s="2"/>
    </row>
    <row r="470" spans="1:2" x14ac:dyDescent="0.3">
      <c r="A470" s="2"/>
      <c r="B470" s="2"/>
    </row>
    <row r="471" spans="1:2" x14ac:dyDescent="0.3">
      <c r="A471" s="2"/>
      <c r="B471" s="2"/>
    </row>
    <row r="472" spans="1:2" x14ac:dyDescent="0.3">
      <c r="A472" s="2"/>
      <c r="B472" s="2"/>
    </row>
    <row r="473" spans="1:2" x14ac:dyDescent="0.3">
      <c r="A473" s="2"/>
      <c r="B473" s="2"/>
    </row>
    <row r="474" spans="1:2" x14ac:dyDescent="0.3">
      <c r="A474" s="2"/>
      <c r="B474" s="2"/>
    </row>
    <row r="475" spans="1:2" x14ac:dyDescent="0.3">
      <c r="A475" s="2"/>
      <c r="B475" s="2"/>
    </row>
    <row r="476" spans="1:2" x14ac:dyDescent="0.3">
      <c r="A476" s="2"/>
      <c r="B476" s="2"/>
    </row>
    <row r="477" spans="1:2" x14ac:dyDescent="0.3">
      <c r="A477" s="2"/>
      <c r="B477" s="2"/>
    </row>
    <row r="478" spans="1:2" x14ac:dyDescent="0.3">
      <c r="A478" s="2"/>
      <c r="B478" s="2"/>
    </row>
    <row r="479" spans="1:2" x14ac:dyDescent="0.3">
      <c r="A479" s="2"/>
      <c r="B479" s="2"/>
    </row>
    <row r="480" spans="1:2" x14ac:dyDescent="0.3">
      <c r="A480" s="2"/>
      <c r="B480" s="2"/>
    </row>
    <row r="481" spans="1:2" x14ac:dyDescent="0.3">
      <c r="A481" s="2"/>
      <c r="B481" s="2"/>
    </row>
    <row r="482" spans="1:2" x14ac:dyDescent="0.3">
      <c r="A482" s="2"/>
      <c r="B482" s="2"/>
    </row>
    <row r="483" spans="1:2" x14ac:dyDescent="0.3">
      <c r="A483" s="2"/>
      <c r="B483" s="2"/>
    </row>
    <row r="484" spans="1:2" x14ac:dyDescent="0.3">
      <c r="A484" s="2"/>
      <c r="B484" s="2"/>
    </row>
    <row r="485" spans="1:2" x14ac:dyDescent="0.3">
      <c r="A485" s="2"/>
      <c r="B485" s="2"/>
    </row>
    <row r="486" spans="1:2" x14ac:dyDescent="0.3">
      <c r="A486" s="2"/>
      <c r="B486" s="2"/>
    </row>
    <row r="487" spans="1:2" x14ac:dyDescent="0.3">
      <c r="A487" s="2"/>
      <c r="B487" s="2"/>
    </row>
    <row r="488" spans="1:2" x14ac:dyDescent="0.3">
      <c r="A488" s="2"/>
      <c r="B488" s="2"/>
    </row>
    <row r="489" spans="1:2" x14ac:dyDescent="0.3">
      <c r="A489" s="2"/>
      <c r="B489" s="2"/>
    </row>
    <row r="490" spans="1:2" x14ac:dyDescent="0.3">
      <c r="A490" s="2"/>
      <c r="B490" s="2"/>
    </row>
    <row r="491" spans="1:2" x14ac:dyDescent="0.3">
      <c r="A491" s="2"/>
      <c r="B491" s="2"/>
    </row>
    <row r="492" spans="1:2" x14ac:dyDescent="0.3">
      <c r="A492" s="2"/>
      <c r="B492" s="2"/>
    </row>
    <row r="493" spans="1:2" x14ac:dyDescent="0.3">
      <c r="A493" s="2"/>
      <c r="B493" s="2"/>
    </row>
    <row r="494" spans="1:2" x14ac:dyDescent="0.3">
      <c r="A494" s="2"/>
      <c r="B494" s="2"/>
    </row>
    <row r="495" spans="1:2" x14ac:dyDescent="0.3">
      <c r="A495" s="2"/>
      <c r="B495" s="2"/>
    </row>
    <row r="496" spans="1:2" x14ac:dyDescent="0.3">
      <c r="A496" s="2"/>
      <c r="B496" s="2"/>
    </row>
    <row r="497" spans="1:2" x14ac:dyDescent="0.3">
      <c r="A497" s="2"/>
      <c r="B497" s="2"/>
    </row>
    <row r="498" spans="1:2" x14ac:dyDescent="0.3">
      <c r="A498" s="2"/>
      <c r="B498" s="2"/>
    </row>
    <row r="499" spans="1:2" x14ac:dyDescent="0.3">
      <c r="A499" s="2"/>
      <c r="B499" s="2"/>
    </row>
    <row r="500" spans="1:2" x14ac:dyDescent="0.3">
      <c r="A500" s="2"/>
      <c r="B500" s="2"/>
    </row>
    <row r="501" spans="1:2" x14ac:dyDescent="0.3">
      <c r="A501" s="2"/>
      <c r="B501" s="2"/>
    </row>
    <row r="502" spans="1:2" x14ac:dyDescent="0.3">
      <c r="A502" s="2"/>
      <c r="B502" s="2"/>
    </row>
    <row r="503" spans="1:2" x14ac:dyDescent="0.3">
      <c r="A503" s="2"/>
      <c r="B503" s="2"/>
    </row>
    <row r="504" spans="1:2" x14ac:dyDescent="0.3">
      <c r="A504" s="2"/>
      <c r="B504" s="2"/>
    </row>
    <row r="505" spans="1:2" x14ac:dyDescent="0.3">
      <c r="A505" s="2"/>
      <c r="B505" s="2"/>
    </row>
    <row r="506" spans="1:2" x14ac:dyDescent="0.3">
      <c r="A506" s="2"/>
      <c r="B506" s="2"/>
    </row>
    <row r="507" spans="1:2" x14ac:dyDescent="0.3">
      <c r="A507" s="2"/>
      <c r="B507" s="2"/>
    </row>
    <row r="508" spans="1:2" x14ac:dyDescent="0.3">
      <c r="A508" s="2"/>
      <c r="B508" s="2"/>
    </row>
    <row r="509" spans="1:2" x14ac:dyDescent="0.3">
      <c r="A509" s="2"/>
      <c r="B509" s="2"/>
    </row>
    <row r="510" spans="1:2" x14ac:dyDescent="0.3">
      <c r="A510" s="2"/>
      <c r="B510" s="2"/>
    </row>
    <row r="511" spans="1:2" x14ac:dyDescent="0.3">
      <c r="A511" s="2"/>
      <c r="B511" s="2"/>
    </row>
    <row r="512" spans="1:2" x14ac:dyDescent="0.3">
      <c r="A512" s="2"/>
      <c r="B512" s="2"/>
    </row>
    <row r="513" spans="1:2" x14ac:dyDescent="0.3">
      <c r="A513" s="2"/>
      <c r="B513" s="2"/>
    </row>
    <row r="514" spans="1:2" x14ac:dyDescent="0.3">
      <c r="A514" s="2"/>
      <c r="B514" s="2"/>
    </row>
    <row r="515" spans="1:2" x14ac:dyDescent="0.3">
      <c r="A515" s="2"/>
      <c r="B515" s="2"/>
    </row>
    <row r="516" spans="1:2" x14ac:dyDescent="0.3">
      <c r="A516" s="2"/>
      <c r="B516" s="2"/>
    </row>
    <row r="517" spans="1:2" x14ac:dyDescent="0.3">
      <c r="A517" s="2"/>
      <c r="B517" s="2"/>
    </row>
    <row r="518" spans="1:2" x14ac:dyDescent="0.3">
      <c r="A518" s="2"/>
      <c r="B518" s="2"/>
    </row>
    <row r="519" spans="1:2" x14ac:dyDescent="0.3">
      <c r="A519" s="2"/>
      <c r="B519" s="2"/>
    </row>
    <row r="520" spans="1:2" x14ac:dyDescent="0.3">
      <c r="A520" s="2"/>
      <c r="B520" s="2"/>
    </row>
    <row r="521" spans="1:2" x14ac:dyDescent="0.3">
      <c r="A521" s="2"/>
      <c r="B521" s="2"/>
    </row>
    <row r="522" spans="1:2" x14ac:dyDescent="0.3">
      <c r="A522" s="2"/>
      <c r="B522" s="2"/>
    </row>
    <row r="523" spans="1:2" x14ac:dyDescent="0.3">
      <c r="A523" s="2"/>
      <c r="B523" s="2"/>
    </row>
    <row r="524" spans="1:2" x14ac:dyDescent="0.3">
      <c r="A524" s="2"/>
      <c r="B524" s="2"/>
    </row>
    <row r="525" spans="1:2" x14ac:dyDescent="0.3">
      <c r="A525" s="2"/>
      <c r="B525" s="2"/>
    </row>
    <row r="526" spans="1:2" x14ac:dyDescent="0.3">
      <c r="A526" s="2"/>
      <c r="B526" s="2"/>
    </row>
    <row r="527" spans="1:2" x14ac:dyDescent="0.3">
      <c r="A527" s="2"/>
      <c r="B527" s="2"/>
    </row>
    <row r="528" spans="1:2" x14ac:dyDescent="0.3">
      <c r="A528" s="2"/>
      <c r="B528" s="2"/>
    </row>
    <row r="529" spans="1:2" x14ac:dyDescent="0.3">
      <c r="A529" s="2"/>
      <c r="B529" s="2"/>
    </row>
    <row r="530" spans="1:2" x14ac:dyDescent="0.3">
      <c r="A530" s="2"/>
      <c r="B530" s="2"/>
    </row>
    <row r="531" spans="1:2" x14ac:dyDescent="0.3">
      <c r="A531" s="2"/>
      <c r="B531" s="2"/>
    </row>
    <row r="532" spans="1:2" x14ac:dyDescent="0.3">
      <c r="A532" s="2"/>
      <c r="B532" s="2"/>
    </row>
    <row r="533" spans="1:2" x14ac:dyDescent="0.3">
      <c r="A533" s="2"/>
      <c r="B533" s="2"/>
    </row>
    <row r="534" spans="1:2" x14ac:dyDescent="0.3">
      <c r="A534" s="2"/>
      <c r="B534" s="2"/>
    </row>
    <row r="535" spans="1:2" x14ac:dyDescent="0.3">
      <c r="A535" s="2"/>
      <c r="B535" s="2"/>
    </row>
    <row r="536" spans="1:2" x14ac:dyDescent="0.3">
      <c r="A536" s="2"/>
      <c r="B536" s="2"/>
    </row>
    <row r="537" spans="1:2" x14ac:dyDescent="0.3">
      <c r="A537" s="2"/>
      <c r="B537" s="2"/>
    </row>
    <row r="538" spans="1:2" x14ac:dyDescent="0.3">
      <c r="A538" s="2"/>
      <c r="B538" s="2"/>
    </row>
    <row r="539" spans="1:2" x14ac:dyDescent="0.3">
      <c r="A539" s="2"/>
      <c r="B539" s="2"/>
    </row>
    <row r="540" spans="1:2" x14ac:dyDescent="0.3">
      <c r="A540" s="2"/>
      <c r="B540" s="2"/>
    </row>
    <row r="541" spans="1:2" x14ac:dyDescent="0.3">
      <c r="A541" s="2"/>
      <c r="B541" s="2"/>
    </row>
    <row r="542" spans="1:2" x14ac:dyDescent="0.3">
      <c r="A542" s="2"/>
      <c r="B542" s="2"/>
    </row>
    <row r="543" spans="1:2" x14ac:dyDescent="0.3">
      <c r="A543" s="2"/>
      <c r="B543" s="2"/>
    </row>
    <row r="544" spans="1:2" x14ac:dyDescent="0.3">
      <c r="A544" s="2"/>
      <c r="B544" s="2"/>
    </row>
    <row r="545" spans="1:2" x14ac:dyDescent="0.3">
      <c r="A545" s="2"/>
      <c r="B545" s="2"/>
    </row>
    <row r="546" spans="1:2" x14ac:dyDescent="0.3">
      <c r="A546" s="2"/>
      <c r="B546" s="2"/>
    </row>
    <row r="547" spans="1:2" x14ac:dyDescent="0.3">
      <c r="A547" s="2"/>
      <c r="B547" s="2"/>
    </row>
    <row r="548" spans="1:2" x14ac:dyDescent="0.3">
      <c r="A548" s="2"/>
      <c r="B548" s="2"/>
    </row>
    <row r="549" spans="1:2" x14ac:dyDescent="0.3">
      <c r="A549" s="2"/>
      <c r="B549" s="2"/>
    </row>
    <row r="550" spans="1:2" x14ac:dyDescent="0.3">
      <c r="A550" s="2"/>
      <c r="B550" s="2"/>
    </row>
    <row r="551" spans="1:2" x14ac:dyDescent="0.3">
      <c r="A551" s="2"/>
      <c r="B551" s="2"/>
    </row>
    <row r="552" spans="1:2" x14ac:dyDescent="0.3">
      <c r="A552" s="2"/>
      <c r="B552" s="2"/>
    </row>
    <row r="553" spans="1:2" x14ac:dyDescent="0.3">
      <c r="A553" s="2"/>
      <c r="B553" s="2"/>
    </row>
    <row r="554" spans="1:2" x14ac:dyDescent="0.3">
      <c r="A554" s="2"/>
      <c r="B554" s="2"/>
    </row>
    <row r="555" spans="1:2" x14ac:dyDescent="0.3">
      <c r="A555" s="2"/>
      <c r="B555" s="2"/>
    </row>
    <row r="556" spans="1:2" x14ac:dyDescent="0.3">
      <c r="A556" s="2"/>
      <c r="B556" s="2"/>
    </row>
    <row r="557" spans="1:2" x14ac:dyDescent="0.3">
      <c r="A557" s="2"/>
      <c r="B557" s="2"/>
    </row>
    <row r="558" spans="1:2" x14ac:dyDescent="0.3">
      <c r="A558" s="2"/>
      <c r="B558" s="2"/>
    </row>
    <row r="559" spans="1:2" x14ac:dyDescent="0.3">
      <c r="A559" s="2"/>
      <c r="B559" s="2"/>
    </row>
    <row r="560" spans="1:2" x14ac:dyDescent="0.3">
      <c r="A560" s="2"/>
      <c r="B560" s="2"/>
    </row>
    <row r="561" spans="1:2" x14ac:dyDescent="0.3">
      <c r="A561" s="2"/>
      <c r="B561" s="2"/>
    </row>
    <row r="562" spans="1:2" x14ac:dyDescent="0.3">
      <c r="A562" s="2"/>
      <c r="B562" s="2"/>
    </row>
    <row r="563" spans="1:2" x14ac:dyDescent="0.3">
      <c r="A563" s="2"/>
      <c r="B563" s="2"/>
    </row>
    <row r="564" spans="1:2" x14ac:dyDescent="0.3">
      <c r="A564" s="2"/>
      <c r="B564" s="2"/>
    </row>
    <row r="565" spans="1:2" x14ac:dyDescent="0.3">
      <c r="A565" s="2"/>
      <c r="B565" s="2"/>
    </row>
    <row r="566" spans="1:2" x14ac:dyDescent="0.3">
      <c r="A566" s="2"/>
      <c r="B566" s="2"/>
    </row>
    <row r="567" spans="1:2" x14ac:dyDescent="0.3">
      <c r="A567" s="2"/>
      <c r="B567" s="2"/>
    </row>
    <row r="568" spans="1:2" x14ac:dyDescent="0.3">
      <c r="A568" s="2"/>
      <c r="B568" s="2"/>
    </row>
    <row r="569" spans="1:2" x14ac:dyDescent="0.3">
      <c r="A569" s="2"/>
      <c r="B569" s="2"/>
    </row>
    <row r="570" spans="1:2" x14ac:dyDescent="0.3">
      <c r="A570" s="2"/>
      <c r="B570" s="2"/>
    </row>
    <row r="571" spans="1:2" x14ac:dyDescent="0.3">
      <c r="A571" s="2"/>
      <c r="B571" s="2"/>
    </row>
    <row r="572" spans="1:2" x14ac:dyDescent="0.3">
      <c r="A572" s="2"/>
      <c r="B572" s="2"/>
    </row>
    <row r="573" spans="1:2" x14ac:dyDescent="0.3">
      <c r="A573" s="2"/>
      <c r="B573" s="2"/>
    </row>
    <row r="574" spans="1:2" x14ac:dyDescent="0.3">
      <c r="A574" s="2"/>
      <c r="B574" s="2"/>
    </row>
    <row r="575" spans="1:2" x14ac:dyDescent="0.3">
      <c r="A575" s="2"/>
      <c r="B575" s="2"/>
    </row>
    <row r="576" spans="1:2" x14ac:dyDescent="0.3">
      <c r="A576" s="2"/>
      <c r="B576" s="2"/>
    </row>
    <row r="577" spans="1:2" x14ac:dyDescent="0.3">
      <c r="A577" s="2"/>
      <c r="B577" s="2"/>
    </row>
    <row r="578" spans="1:2" x14ac:dyDescent="0.3">
      <c r="A578" s="2"/>
      <c r="B578" s="2"/>
    </row>
    <row r="579" spans="1:2" x14ac:dyDescent="0.3">
      <c r="A579" s="2"/>
      <c r="B579" s="2"/>
    </row>
    <row r="580" spans="1:2" x14ac:dyDescent="0.3">
      <c r="A580" s="2"/>
      <c r="B580" s="2"/>
    </row>
    <row r="581" spans="1:2" x14ac:dyDescent="0.3">
      <c r="A581" s="2"/>
      <c r="B581" s="2"/>
    </row>
    <row r="582" spans="1:2" x14ac:dyDescent="0.3">
      <c r="A582" s="2"/>
      <c r="B582" s="2"/>
    </row>
    <row r="583" spans="1:2" x14ac:dyDescent="0.3">
      <c r="A583" s="2"/>
      <c r="B583" s="2"/>
    </row>
    <row r="584" spans="1:2" x14ac:dyDescent="0.3">
      <c r="A584" s="2"/>
      <c r="B584" s="2"/>
    </row>
    <row r="585" spans="1:2" x14ac:dyDescent="0.3">
      <c r="A585" s="2"/>
      <c r="B585" s="2"/>
    </row>
    <row r="586" spans="1:2" x14ac:dyDescent="0.3">
      <c r="A586" s="2"/>
      <c r="B586" s="2"/>
    </row>
    <row r="587" spans="1:2" x14ac:dyDescent="0.3">
      <c r="A587" s="2"/>
      <c r="B587" s="2"/>
    </row>
    <row r="588" spans="1:2" x14ac:dyDescent="0.3">
      <c r="A588" s="2"/>
      <c r="B588" s="2"/>
    </row>
    <row r="589" spans="1:2" x14ac:dyDescent="0.3">
      <c r="A589" s="2"/>
      <c r="B589" s="2"/>
    </row>
    <row r="590" spans="1:2" x14ac:dyDescent="0.3">
      <c r="A590" s="2"/>
      <c r="B590" s="2"/>
    </row>
    <row r="591" spans="1:2" x14ac:dyDescent="0.3">
      <c r="A591" s="2"/>
      <c r="B591" s="2"/>
    </row>
    <row r="592" spans="1:2" x14ac:dyDescent="0.3">
      <c r="A592" s="2"/>
      <c r="B592" s="2"/>
    </row>
    <row r="593" spans="1:2" x14ac:dyDescent="0.3">
      <c r="A593" s="2"/>
      <c r="B593" s="2"/>
    </row>
    <row r="594" spans="1:2" x14ac:dyDescent="0.3">
      <c r="A594" s="2"/>
      <c r="B594" s="2"/>
    </row>
    <row r="595" spans="1:2" x14ac:dyDescent="0.3">
      <c r="A595" s="2"/>
      <c r="B595" s="2"/>
    </row>
    <row r="596" spans="1:2" x14ac:dyDescent="0.3">
      <c r="A596" s="2"/>
      <c r="B596" s="2"/>
    </row>
    <row r="597" spans="1:2" x14ac:dyDescent="0.3">
      <c r="A597" s="2"/>
      <c r="B597" s="2"/>
    </row>
    <row r="598" spans="1:2" x14ac:dyDescent="0.3">
      <c r="A598" s="2"/>
      <c r="B598" s="2"/>
    </row>
    <row r="599" spans="1:2" x14ac:dyDescent="0.3">
      <c r="A599" s="2"/>
      <c r="B599" s="2"/>
    </row>
    <row r="600" spans="1:2" x14ac:dyDescent="0.3">
      <c r="A600" s="2"/>
      <c r="B600" s="2"/>
    </row>
    <row r="601" spans="1:2" x14ac:dyDescent="0.3">
      <c r="A601" s="2"/>
      <c r="B601" s="2"/>
    </row>
    <row r="602" spans="1:2" x14ac:dyDescent="0.3">
      <c r="A602" s="2"/>
      <c r="B602" s="2"/>
    </row>
    <row r="603" spans="1:2" x14ac:dyDescent="0.3">
      <c r="A603" s="2"/>
      <c r="B603" s="2"/>
    </row>
    <row r="604" spans="1:2" x14ac:dyDescent="0.3">
      <c r="A604" s="2"/>
      <c r="B604" s="2"/>
    </row>
    <row r="605" spans="1:2" x14ac:dyDescent="0.3">
      <c r="A605" s="2"/>
      <c r="B605" s="2"/>
    </row>
    <row r="606" spans="1:2" x14ac:dyDescent="0.3">
      <c r="A606" s="2"/>
      <c r="B606" s="2"/>
    </row>
    <row r="607" spans="1:2" x14ac:dyDescent="0.3">
      <c r="A607" s="2"/>
      <c r="B607" s="2"/>
    </row>
    <row r="608" spans="1:2" x14ac:dyDescent="0.3">
      <c r="A608" s="2"/>
      <c r="B608" s="2"/>
    </row>
    <row r="609" spans="1:2" x14ac:dyDescent="0.3">
      <c r="A609" s="2"/>
      <c r="B609" s="2"/>
    </row>
    <row r="610" spans="1:2" x14ac:dyDescent="0.3">
      <c r="A610" s="2"/>
      <c r="B610" s="2"/>
    </row>
    <row r="611" spans="1:2" x14ac:dyDescent="0.3">
      <c r="A611" s="2"/>
      <c r="B611" s="2"/>
    </row>
    <row r="612" spans="1:2" x14ac:dyDescent="0.3">
      <c r="A612" s="2"/>
      <c r="B612" s="2"/>
    </row>
    <row r="613" spans="1:2" x14ac:dyDescent="0.3">
      <c r="A613" s="2"/>
      <c r="B613" s="2"/>
    </row>
    <row r="614" spans="1:2" x14ac:dyDescent="0.3">
      <c r="A614" s="2"/>
      <c r="B614" s="2"/>
    </row>
    <row r="615" spans="1:2" x14ac:dyDescent="0.3">
      <c r="A615" s="2"/>
      <c r="B615" s="2"/>
    </row>
    <row r="616" spans="1:2" x14ac:dyDescent="0.3">
      <c r="A616" s="2"/>
      <c r="B616" s="2"/>
    </row>
    <row r="617" spans="1:2" x14ac:dyDescent="0.3">
      <c r="A617" s="2"/>
      <c r="B617" s="2"/>
    </row>
    <row r="618" spans="1:2" x14ac:dyDescent="0.3">
      <c r="A618" s="2"/>
      <c r="B618" s="2"/>
    </row>
    <row r="619" spans="1:2" x14ac:dyDescent="0.3">
      <c r="A619" s="2"/>
      <c r="B619" s="2"/>
    </row>
    <row r="620" spans="1:2" x14ac:dyDescent="0.3">
      <c r="A620" s="2"/>
      <c r="B620" s="2"/>
    </row>
    <row r="621" spans="1:2" x14ac:dyDescent="0.3">
      <c r="A621" s="2"/>
      <c r="B621" s="2"/>
    </row>
    <row r="622" spans="1:2" x14ac:dyDescent="0.3">
      <c r="A622" s="2"/>
      <c r="B622" s="2"/>
    </row>
    <row r="623" spans="1:2" x14ac:dyDescent="0.3">
      <c r="A623" s="2"/>
      <c r="B623" s="2"/>
    </row>
    <row r="624" spans="1:2" x14ac:dyDescent="0.3">
      <c r="A624" s="2"/>
      <c r="B624" s="2"/>
    </row>
    <row r="625" spans="1:2" x14ac:dyDescent="0.3">
      <c r="A625" s="2"/>
      <c r="B625" s="2"/>
    </row>
    <row r="626" spans="1:2" x14ac:dyDescent="0.3">
      <c r="A626" s="2"/>
      <c r="B626" s="2"/>
    </row>
    <row r="627" spans="1:2" x14ac:dyDescent="0.3">
      <c r="A627" s="2"/>
      <c r="B627" s="2"/>
    </row>
    <row r="628" spans="1:2" x14ac:dyDescent="0.3">
      <c r="A628" s="2"/>
      <c r="B628" s="2"/>
    </row>
    <row r="629" spans="1:2" x14ac:dyDescent="0.3">
      <c r="A629" s="2"/>
      <c r="B629" s="2"/>
    </row>
    <row r="630" spans="1:2" x14ac:dyDescent="0.3">
      <c r="A630" s="2"/>
      <c r="B630" s="2"/>
    </row>
    <row r="631" spans="1:2" x14ac:dyDescent="0.3">
      <c r="A631" s="2"/>
      <c r="B631" s="2"/>
    </row>
    <row r="632" spans="1:2" x14ac:dyDescent="0.3">
      <c r="A632" s="2"/>
      <c r="B632" s="2"/>
    </row>
    <row r="633" spans="1:2" x14ac:dyDescent="0.3">
      <c r="A633" s="2"/>
      <c r="B633" s="2"/>
    </row>
    <row r="634" spans="1:2" x14ac:dyDescent="0.3">
      <c r="A634" s="2"/>
      <c r="B634" s="2"/>
    </row>
    <row r="635" spans="1:2" x14ac:dyDescent="0.3">
      <c r="A635" s="2"/>
      <c r="B635" s="2"/>
    </row>
    <row r="636" spans="1:2" x14ac:dyDescent="0.3">
      <c r="A636" s="2"/>
      <c r="B636" s="2"/>
    </row>
    <row r="637" spans="1:2" x14ac:dyDescent="0.3">
      <c r="A637" s="2"/>
      <c r="B637" s="2"/>
    </row>
    <row r="638" spans="1:2" x14ac:dyDescent="0.3">
      <c r="A638" s="2"/>
      <c r="B638" s="2"/>
    </row>
    <row r="639" spans="1:2" x14ac:dyDescent="0.3">
      <c r="A639" s="2"/>
      <c r="B639" s="2"/>
    </row>
    <row r="640" spans="1:2" x14ac:dyDescent="0.3">
      <c r="A640" s="2"/>
      <c r="B640" s="2"/>
    </row>
    <row r="641" spans="1:2" x14ac:dyDescent="0.3">
      <c r="A641" s="2"/>
      <c r="B641" s="2"/>
    </row>
    <row r="642" spans="1:2" x14ac:dyDescent="0.3">
      <c r="A642" s="2"/>
      <c r="B642" s="2"/>
    </row>
    <row r="643" spans="1:2" x14ac:dyDescent="0.3">
      <c r="A643" s="2"/>
      <c r="B643" s="2"/>
    </row>
    <row r="644" spans="1:2" x14ac:dyDescent="0.3">
      <c r="A644" s="2"/>
      <c r="B644" s="2"/>
    </row>
    <row r="645" spans="1:2" x14ac:dyDescent="0.3">
      <c r="A645" s="2"/>
      <c r="B645" s="2"/>
    </row>
    <row r="646" spans="1:2" x14ac:dyDescent="0.3">
      <c r="A646" s="2"/>
      <c r="B646" s="2"/>
    </row>
    <row r="647" spans="1:2" x14ac:dyDescent="0.3">
      <c r="A647" s="2"/>
      <c r="B647" s="2"/>
    </row>
    <row r="648" spans="1:2" x14ac:dyDescent="0.3">
      <c r="A648" s="2"/>
      <c r="B648" s="2"/>
    </row>
    <row r="649" spans="1:2" x14ac:dyDescent="0.3">
      <c r="A649" s="2"/>
      <c r="B649" s="2"/>
    </row>
    <row r="650" spans="1:2" x14ac:dyDescent="0.3">
      <c r="A650" s="2"/>
      <c r="B650" s="2"/>
    </row>
    <row r="651" spans="1:2" x14ac:dyDescent="0.3">
      <c r="A651" s="2"/>
      <c r="B651" s="2"/>
    </row>
    <row r="652" spans="1:2" x14ac:dyDescent="0.3">
      <c r="A652" s="2"/>
      <c r="B652" s="2"/>
    </row>
    <row r="653" spans="1:2" x14ac:dyDescent="0.3">
      <c r="A653" s="2"/>
      <c r="B653" s="2"/>
    </row>
    <row r="654" spans="1:2" x14ac:dyDescent="0.3">
      <c r="A654" s="2"/>
      <c r="B654" s="2"/>
    </row>
    <row r="655" spans="1:2" x14ac:dyDescent="0.3">
      <c r="A655" s="2"/>
      <c r="B655" s="2"/>
    </row>
    <row r="656" spans="1:2" x14ac:dyDescent="0.3">
      <c r="A656" s="2"/>
      <c r="B656" s="2"/>
    </row>
    <row r="657" spans="1:2" x14ac:dyDescent="0.3">
      <c r="A657" s="2"/>
      <c r="B657" s="2"/>
    </row>
    <row r="658" spans="1:2" x14ac:dyDescent="0.3">
      <c r="A658" s="2"/>
      <c r="B658" s="2"/>
    </row>
    <row r="659" spans="1:2" x14ac:dyDescent="0.3">
      <c r="A659" s="2"/>
      <c r="B659" s="2"/>
    </row>
    <row r="660" spans="1:2" x14ac:dyDescent="0.3">
      <c r="A660" s="2"/>
      <c r="B660" s="2"/>
    </row>
    <row r="661" spans="1:2" x14ac:dyDescent="0.3">
      <c r="A661" s="2"/>
      <c r="B661" s="2"/>
    </row>
    <row r="662" spans="1:2" x14ac:dyDescent="0.3">
      <c r="A662" s="2"/>
      <c r="B662" s="2"/>
    </row>
    <row r="663" spans="1:2" x14ac:dyDescent="0.3">
      <c r="A663" s="2"/>
      <c r="B663" s="2"/>
    </row>
    <row r="664" spans="1:2" x14ac:dyDescent="0.3">
      <c r="A664" s="2"/>
      <c r="B664" s="2"/>
    </row>
    <row r="665" spans="1:2" x14ac:dyDescent="0.3">
      <c r="A665" s="2"/>
      <c r="B665" s="2"/>
    </row>
    <row r="666" spans="1:2" x14ac:dyDescent="0.3">
      <c r="A666" s="2"/>
      <c r="B666" s="2"/>
    </row>
    <row r="667" spans="1:2" x14ac:dyDescent="0.3">
      <c r="A667" s="2"/>
      <c r="B667" s="2"/>
    </row>
    <row r="668" spans="1:2" x14ac:dyDescent="0.3">
      <c r="A668" s="2"/>
      <c r="B668" s="2"/>
    </row>
    <row r="669" spans="1:2" x14ac:dyDescent="0.3">
      <c r="A669" s="2"/>
      <c r="B669" s="2"/>
    </row>
    <row r="670" spans="1:2" x14ac:dyDescent="0.3">
      <c r="A670" s="2"/>
      <c r="B670" s="2"/>
    </row>
    <row r="671" spans="1:2" x14ac:dyDescent="0.3">
      <c r="A671" s="2"/>
      <c r="B671" s="2"/>
    </row>
    <row r="672" spans="1:2" x14ac:dyDescent="0.3">
      <c r="A672" s="2"/>
      <c r="B672" s="2"/>
    </row>
    <row r="673" spans="1:2" x14ac:dyDescent="0.3">
      <c r="A673" s="2"/>
      <c r="B673" s="2"/>
    </row>
    <row r="674" spans="1:2" x14ac:dyDescent="0.3">
      <c r="A674" s="2"/>
      <c r="B674" s="2"/>
    </row>
    <row r="675" spans="1:2" x14ac:dyDescent="0.3">
      <c r="A675" s="2"/>
      <c r="B675" s="2"/>
    </row>
    <row r="676" spans="1:2" x14ac:dyDescent="0.3">
      <c r="A676" s="2"/>
      <c r="B676" s="2"/>
    </row>
    <row r="677" spans="1:2" x14ac:dyDescent="0.3">
      <c r="A677" s="2"/>
      <c r="B677" s="2"/>
    </row>
    <row r="678" spans="1:2" x14ac:dyDescent="0.3">
      <c r="A678" s="2"/>
      <c r="B678" s="2"/>
    </row>
    <row r="679" spans="1:2" x14ac:dyDescent="0.3">
      <c r="A679" s="2"/>
      <c r="B679" s="2"/>
    </row>
    <row r="680" spans="1:2" x14ac:dyDescent="0.3">
      <c r="A680" s="2"/>
      <c r="B680" s="2"/>
    </row>
    <row r="681" spans="1:2" x14ac:dyDescent="0.3">
      <c r="A681" s="2"/>
      <c r="B681" s="2"/>
    </row>
    <row r="682" spans="1:2" x14ac:dyDescent="0.3">
      <c r="A682" s="2"/>
      <c r="B682" s="2"/>
    </row>
    <row r="683" spans="1:2" x14ac:dyDescent="0.3">
      <c r="A683" s="2"/>
      <c r="B683" s="2"/>
    </row>
    <row r="684" spans="1:2" x14ac:dyDescent="0.3">
      <c r="A684" s="2"/>
      <c r="B684" s="2"/>
    </row>
    <row r="685" spans="1:2" x14ac:dyDescent="0.3">
      <c r="A685" s="2"/>
      <c r="B685" s="2"/>
    </row>
    <row r="686" spans="1:2" x14ac:dyDescent="0.3">
      <c r="A686" s="2"/>
      <c r="B686" s="2"/>
    </row>
    <row r="687" spans="1:2" x14ac:dyDescent="0.3">
      <c r="A687" s="2"/>
      <c r="B687" s="2"/>
    </row>
    <row r="688" spans="1:2" x14ac:dyDescent="0.3">
      <c r="A688" s="2"/>
      <c r="B688" s="2"/>
    </row>
    <row r="689" spans="1:2" x14ac:dyDescent="0.3">
      <c r="A689" s="2"/>
      <c r="B689" s="2"/>
    </row>
    <row r="690" spans="1:2" x14ac:dyDescent="0.3">
      <c r="A690" s="2"/>
      <c r="B690" s="2"/>
    </row>
    <row r="691" spans="1:2" x14ac:dyDescent="0.3">
      <c r="A691" s="2"/>
      <c r="B691" s="2"/>
    </row>
    <row r="692" spans="1:2" x14ac:dyDescent="0.3">
      <c r="A692" s="2"/>
      <c r="B692" s="2"/>
    </row>
    <row r="693" spans="1:2" x14ac:dyDescent="0.3">
      <c r="A693" s="2"/>
      <c r="B693" s="2"/>
    </row>
    <row r="694" spans="1:2" x14ac:dyDescent="0.3">
      <c r="A694" s="2"/>
      <c r="B694" s="2"/>
    </row>
    <row r="695" spans="1:2" x14ac:dyDescent="0.3">
      <c r="A695" s="2"/>
      <c r="B695" s="2"/>
    </row>
    <row r="696" spans="1:2" x14ac:dyDescent="0.3">
      <c r="A696" s="2"/>
      <c r="B696" s="2"/>
    </row>
    <row r="697" spans="1:2" x14ac:dyDescent="0.3">
      <c r="A697" s="2"/>
      <c r="B697" s="2"/>
    </row>
    <row r="698" spans="1:2" x14ac:dyDescent="0.3">
      <c r="A698" s="2"/>
      <c r="B698" s="2"/>
    </row>
    <row r="699" spans="1:2" x14ac:dyDescent="0.3">
      <c r="A699" s="2"/>
      <c r="B699" s="2"/>
    </row>
    <row r="700" spans="1:2" x14ac:dyDescent="0.3">
      <c r="A700" s="2"/>
      <c r="B700" s="2"/>
    </row>
    <row r="701" spans="1:2" x14ac:dyDescent="0.3">
      <c r="A701" s="2"/>
      <c r="B701" s="2"/>
    </row>
    <row r="702" spans="1:2" x14ac:dyDescent="0.3">
      <c r="A702" s="2"/>
      <c r="B702" s="2"/>
    </row>
    <row r="703" spans="1:2" x14ac:dyDescent="0.3">
      <c r="A703" s="2"/>
      <c r="B703" s="2"/>
    </row>
    <row r="704" spans="1:2" x14ac:dyDescent="0.3">
      <c r="A704" s="2"/>
      <c r="B704" s="2"/>
    </row>
    <row r="705" spans="1:2" x14ac:dyDescent="0.3">
      <c r="A705" s="2"/>
      <c r="B705" s="2"/>
    </row>
    <row r="706" spans="1:2" x14ac:dyDescent="0.3">
      <c r="A706" s="2"/>
      <c r="B706" s="2"/>
    </row>
    <row r="707" spans="1:2" x14ac:dyDescent="0.3">
      <c r="A707" s="2"/>
      <c r="B707" s="2"/>
    </row>
    <row r="708" spans="1:2" x14ac:dyDescent="0.3">
      <c r="A708" s="2"/>
      <c r="B708" s="2"/>
    </row>
    <row r="709" spans="1:2" x14ac:dyDescent="0.3">
      <c r="A709" s="2"/>
      <c r="B709" s="2"/>
    </row>
    <row r="710" spans="1:2" x14ac:dyDescent="0.3">
      <c r="A710" s="2"/>
      <c r="B710" s="2"/>
    </row>
    <row r="711" spans="1:2" x14ac:dyDescent="0.3">
      <c r="A711" s="2"/>
      <c r="B711" s="2"/>
    </row>
    <row r="712" spans="1:2" x14ac:dyDescent="0.3">
      <c r="A712" s="2"/>
      <c r="B712" s="2"/>
    </row>
    <row r="713" spans="1:2" x14ac:dyDescent="0.3">
      <c r="A713" s="2"/>
      <c r="B713" s="2"/>
    </row>
    <row r="714" spans="1:2" x14ac:dyDescent="0.3">
      <c r="A714" s="2"/>
      <c r="B714" s="2"/>
    </row>
    <row r="715" spans="1:2" x14ac:dyDescent="0.3">
      <c r="A715" s="2"/>
      <c r="B715" s="2"/>
    </row>
    <row r="716" spans="1:2" x14ac:dyDescent="0.3">
      <c r="A716" s="2"/>
      <c r="B716" s="2"/>
    </row>
    <row r="717" spans="1:2" x14ac:dyDescent="0.3">
      <c r="A717" s="2"/>
      <c r="B717" s="2"/>
    </row>
    <row r="718" spans="1:2" x14ac:dyDescent="0.3">
      <c r="A718" s="2"/>
      <c r="B718" s="2"/>
    </row>
    <row r="719" spans="1:2" x14ac:dyDescent="0.3">
      <c r="A719" s="2"/>
      <c r="B719" s="2"/>
    </row>
    <row r="720" spans="1:2" x14ac:dyDescent="0.3">
      <c r="A720" s="2"/>
      <c r="B720" s="2"/>
    </row>
    <row r="721" spans="1:2" x14ac:dyDescent="0.3">
      <c r="A721" s="2"/>
      <c r="B721" s="2"/>
    </row>
    <row r="722" spans="1:2" x14ac:dyDescent="0.3">
      <c r="A722" s="2"/>
      <c r="B722" s="2"/>
    </row>
    <row r="723" spans="1:2" x14ac:dyDescent="0.3">
      <c r="A723" s="2"/>
      <c r="B723" s="2"/>
    </row>
    <row r="724" spans="1:2" x14ac:dyDescent="0.3">
      <c r="A724" s="2"/>
      <c r="B724" s="2"/>
    </row>
    <row r="725" spans="1:2" x14ac:dyDescent="0.3">
      <c r="A725" s="2"/>
      <c r="B725" s="2"/>
    </row>
    <row r="726" spans="1:2" x14ac:dyDescent="0.3">
      <c r="A726" s="2"/>
      <c r="B726" s="2"/>
    </row>
    <row r="727" spans="1:2" x14ac:dyDescent="0.3">
      <c r="A727" s="2"/>
      <c r="B727" s="2"/>
    </row>
    <row r="728" spans="1:2" x14ac:dyDescent="0.3">
      <c r="A728" s="2"/>
      <c r="B728" s="2"/>
    </row>
    <row r="729" spans="1:2" x14ac:dyDescent="0.3">
      <c r="A729" s="2"/>
      <c r="B729" s="2"/>
    </row>
    <row r="730" spans="1:2" x14ac:dyDescent="0.3">
      <c r="A730" s="2"/>
      <c r="B730" s="2"/>
    </row>
    <row r="731" spans="1:2" x14ac:dyDescent="0.3">
      <c r="A731" s="2"/>
      <c r="B731" s="2"/>
    </row>
    <row r="732" spans="1:2" x14ac:dyDescent="0.3">
      <c r="A732" s="2"/>
      <c r="B732" s="2"/>
    </row>
    <row r="733" spans="1:2" x14ac:dyDescent="0.3">
      <c r="A733" s="2"/>
      <c r="B733" s="2"/>
    </row>
    <row r="734" spans="1:2" x14ac:dyDescent="0.3">
      <c r="A734" s="2"/>
      <c r="B734" s="2"/>
    </row>
    <row r="735" spans="1:2" x14ac:dyDescent="0.3">
      <c r="A735" s="2"/>
      <c r="B735" s="2"/>
    </row>
    <row r="736" spans="1:2" x14ac:dyDescent="0.3">
      <c r="A736" s="2"/>
      <c r="B736" s="2"/>
    </row>
    <row r="737" spans="1:2" x14ac:dyDescent="0.3">
      <c r="A737" s="2"/>
      <c r="B737" s="2"/>
    </row>
    <row r="738" spans="1:2" x14ac:dyDescent="0.3">
      <c r="A738" s="2"/>
      <c r="B738" s="2"/>
    </row>
    <row r="739" spans="1:2" x14ac:dyDescent="0.3">
      <c r="A739" s="2"/>
      <c r="B739" s="2"/>
    </row>
    <row r="740" spans="1:2" x14ac:dyDescent="0.3">
      <c r="A740" s="2"/>
      <c r="B740" s="2"/>
    </row>
    <row r="741" spans="1:2" x14ac:dyDescent="0.3">
      <c r="A741" s="2"/>
      <c r="B741" s="2"/>
    </row>
    <row r="742" spans="1:2" x14ac:dyDescent="0.3">
      <c r="A742" s="2"/>
      <c r="B742" s="2"/>
    </row>
    <row r="743" spans="1:2" x14ac:dyDescent="0.3">
      <c r="A743" s="2"/>
      <c r="B743" s="2"/>
    </row>
    <row r="744" spans="1:2" x14ac:dyDescent="0.3">
      <c r="A744" s="2"/>
      <c r="B744" s="2"/>
    </row>
    <row r="745" spans="1:2" x14ac:dyDescent="0.3">
      <c r="A745" s="2"/>
      <c r="B745" s="2"/>
    </row>
    <row r="746" spans="1:2" x14ac:dyDescent="0.3">
      <c r="A746" s="2"/>
      <c r="B746" s="2"/>
    </row>
    <row r="747" spans="1:2" x14ac:dyDescent="0.3">
      <c r="A747" s="2"/>
      <c r="B747" s="2"/>
    </row>
    <row r="748" spans="1:2" x14ac:dyDescent="0.3">
      <c r="A748" s="2"/>
      <c r="B748" s="2"/>
    </row>
    <row r="749" spans="1:2" x14ac:dyDescent="0.3">
      <c r="A749" s="2"/>
      <c r="B749" s="2"/>
    </row>
    <row r="750" spans="1:2" x14ac:dyDescent="0.3">
      <c r="A750" s="2"/>
      <c r="B750" s="2"/>
    </row>
    <row r="751" spans="1:2" x14ac:dyDescent="0.3">
      <c r="A751" s="2"/>
      <c r="B751" s="2"/>
    </row>
    <row r="752" spans="1:2" x14ac:dyDescent="0.3">
      <c r="A752" s="2"/>
      <c r="B752" s="2"/>
    </row>
    <row r="753" spans="1:2" x14ac:dyDescent="0.3">
      <c r="A753" s="2"/>
      <c r="B753" s="2"/>
    </row>
    <row r="754" spans="1:2" x14ac:dyDescent="0.3">
      <c r="A754" s="2"/>
      <c r="B754" s="2"/>
    </row>
    <row r="755" spans="1:2" x14ac:dyDescent="0.3">
      <c r="A755" s="2"/>
      <c r="B755" s="2"/>
    </row>
    <row r="756" spans="1:2" x14ac:dyDescent="0.3">
      <c r="A756" s="2"/>
      <c r="B756" s="2"/>
    </row>
    <row r="757" spans="1:2" x14ac:dyDescent="0.3">
      <c r="A757" s="2"/>
      <c r="B757" s="2"/>
    </row>
    <row r="758" spans="1:2" x14ac:dyDescent="0.3">
      <c r="A758" s="2"/>
      <c r="B758" s="2"/>
    </row>
    <row r="759" spans="1:2" x14ac:dyDescent="0.3">
      <c r="A759" s="2"/>
      <c r="B759" s="2"/>
    </row>
    <row r="760" spans="1:2" x14ac:dyDescent="0.3">
      <c r="A760" s="2"/>
      <c r="B760" s="2"/>
    </row>
    <row r="761" spans="1:2" x14ac:dyDescent="0.3">
      <c r="A761" s="2"/>
      <c r="B761" s="2"/>
    </row>
    <row r="762" spans="1:2" x14ac:dyDescent="0.3">
      <c r="A762" s="2"/>
      <c r="B762" s="2"/>
    </row>
    <row r="763" spans="1:2" x14ac:dyDescent="0.3">
      <c r="A763" s="2"/>
      <c r="B763" s="2"/>
    </row>
    <row r="764" spans="1:2" x14ac:dyDescent="0.3">
      <c r="A764" s="2"/>
      <c r="B764" s="2"/>
    </row>
    <row r="765" spans="1:2" x14ac:dyDescent="0.3">
      <c r="A765" s="2"/>
      <c r="B765" s="2"/>
    </row>
    <row r="766" spans="1:2" x14ac:dyDescent="0.3">
      <c r="A766" s="2"/>
      <c r="B766" s="2"/>
    </row>
    <row r="767" spans="1:2" x14ac:dyDescent="0.3">
      <c r="A767" s="2"/>
      <c r="B767" s="2"/>
    </row>
    <row r="768" spans="1:2" x14ac:dyDescent="0.3">
      <c r="A768" s="2"/>
      <c r="B768" s="2"/>
    </row>
    <row r="769" spans="1:2" x14ac:dyDescent="0.3">
      <c r="A769" s="2"/>
      <c r="B769" s="2"/>
    </row>
    <row r="770" spans="1:2" x14ac:dyDescent="0.3">
      <c r="A770" s="2"/>
      <c r="B770" s="2"/>
    </row>
    <row r="771" spans="1:2" x14ac:dyDescent="0.3">
      <c r="A771" s="2"/>
      <c r="B771" s="2"/>
    </row>
    <row r="772" spans="1:2" x14ac:dyDescent="0.3">
      <c r="A772" s="2"/>
      <c r="B772" s="2"/>
    </row>
    <row r="773" spans="1:2" x14ac:dyDescent="0.3">
      <c r="A773" s="2"/>
      <c r="B773" s="2"/>
    </row>
    <row r="774" spans="1:2" x14ac:dyDescent="0.3">
      <c r="A774" s="2"/>
      <c r="B774" s="2"/>
    </row>
    <row r="775" spans="1:2" x14ac:dyDescent="0.3">
      <c r="A775" s="2"/>
      <c r="B775" s="2"/>
    </row>
    <row r="776" spans="1:2" x14ac:dyDescent="0.3">
      <c r="A776" s="2"/>
      <c r="B776" s="2"/>
    </row>
    <row r="777" spans="1:2" x14ac:dyDescent="0.3">
      <c r="A777" s="2"/>
      <c r="B777" s="2"/>
    </row>
    <row r="778" spans="1:2" x14ac:dyDescent="0.3">
      <c r="A778" s="2"/>
      <c r="B778" s="2"/>
    </row>
    <row r="779" spans="1:2" x14ac:dyDescent="0.3">
      <c r="A779" s="2"/>
      <c r="B779" s="2"/>
    </row>
    <row r="780" spans="1:2" x14ac:dyDescent="0.3">
      <c r="A780" s="2"/>
      <c r="B780" s="2"/>
    </row>
    <row r="781" spans="1:2" x14ac:dyDescent="0.3">
      <c r="A781" s="2"/>
      <c r="B781" s="2"/>
    </row>
    <row r="782" spans="1:2" x14ac:dyDescent="0.3">
      <c r="A782" s="2"/>
      <c r="B782" s="2"/>
    </row>
    <row r="783" spans="1:2" x14ac:dyDescent="0.3">
      <c r="A783" s="2"/>
      <c r="B783" s="2"/>
    </row>
    <row r="784" spans="1:2" x14ac:dyDescent="0.3">
      <c r="A784" s="2"/>
      <c r="B784" s="2"/>
    </row>
    <row r="785" spans="1:2" x14ac:dyDescent="0.3">
      <c r="A785" s="2"/>
      <c r="B785" s="2"/>
    </row>
    <row r="786" spans="1:2" x14ac:dyDescent="0.3">
      <c r="A786" s="2"/>
      <c r="B786" s="2"/>
    </row>
    <row r="787" spans="1:2" x14ac:dyDescent="0.3">
      <c r="A787" s="2"/>
      <c r="B787" s="2"/>
    </row>
    <row r="788" spans="1:2" x14ac:dyDescent="0.3">
      <c r="A788" s="2"/>
      <c r="B788" s="2"/>
    </row>
    <row r="789" spans="1:2" x14ac:dyDescent="0.3">
      <c r="A789" s="2"/>
      <c r="B789" s="2"/>
    </row>
    <row r="790" spans="1:2" x14ac:dyDescent="0.3">
      <c r="A790" s="2"/>
      <c r="B790" s="2"/>
    </row>
    <row r="791" spans="1:2" x14ac:dyDescent="0.3">
      <c r="A791" s="2"/>
      <c r="B791" s="2"/>
    </row>
    <row r="792" spans="1:2" x14ac:dyDescent="0.3">
      <c r="A792" s="2"/>
      <c r="B792" s="2"/>
    </row>
    <row r="793" spans="1:2" x14ac:dyDescent="0.3">
      <c r="A793" s="2"/>
      <c r="B793" s="2"/>
    </row>
    <row r="794" spans="1:2" x14ac:dyDescent="0.3">
      <c r="A794" s="2"/>
      <c r="B794" s="2"/>
    </row>
    <row r="795" spans="1:2" x14ac:dyDescent="0.3">
      <c r="A795" s="2"/>
      <c r="B795" s="2"/>
    </row>
    <row r="796" spans="1:2" x14ac:dyDescent="0.3">
      <c r="A796" s="2"/>
      <c r="B796" s="2"/>
    </row>
    <row r="797" spans="1:2" x14ac:dyDescent="0.3">
      <c r="A797" s="2"/>
      <c r="B797" s="2"/>
    </row>
    <row r="798" spans="1:2" x14ac:dyDescent="0.3">
      <c r="A798" s="2"/>
      <c r="B798" s="2"/>
    </row>
    <row r="799" spans="1:2" x14ac:dyDescent="0.3">
      <c r="A799" s="2"/>
      <c r="B799" s="2"/>
    </row>
    <row r="800" spans="1:2" x14ac:dyDescent="0.3">
      <c r="A800" s="2"/>
      <c r="B800" s="2"/>
    </row>
    <row r="801" spans="1:2" x14ac:dyDescent="0.3">
      <c r="A801" s="2"/>
      <c r="B801" s="2"/>
    </row>
    <row r="802" spans="1:2" x14ac:dyDescent="0.3">
      <c r="A802" s="2"/>
      <c r="B802" s="2"/>
    </row>
    <row r="803" spans="1:2" x14ac:dyDescent="0.3">
      <c r="A803" s="2"/>
      <c r="B803" s="2"/>
    </row>
    <row r="804" spans="1:2" x14ac:dyDescent="0.3">
      <c r="A804" s="2"/>
      <c r="B804" s="2"/>
    </row>
    <row r="805" spans="1:2" x14ac:dyDescent="0.3">
      <c r="A805" s="2"/>
      <c r="B805" s="2"/>
    </row>
    <row r="806" spans="1:2" x14ac:dyDescent="0.3">
      <c r="A806" s="2"/>
      <c r="B806" s="2"/>
    </row>
    <row r="807" spans="1:2" x14ac:dyDescent="0.3">
      <c r="A807" s="2"/>
      <c r="B807" s="2"/>
    </row>
    <row r="808" spans="1:2" x14ac:dyDescent="0.3">
      <c r="A808" s="2"/>
      <c r="B808" s="2"/>
    </row>
    <row r="809" spans="1:2" x14ac:dyDescent="0.3">
      <c r="A809" s="2"/>
      <c r="B809" s="2"/>
    </row>
    <row r="810" spans="1:2" x14ac:dyDescent="0.3">
      <c r="A810" s="2"/>
      <c r="B810" s="2"/>
    </row>
    <row r="811" spans="1:2" x14ac:dyDescent="0.3">
      <c r="A811" s="2"/>
      <c r="B811" s="2"/>
    </row>
    <row r="812" spans="1:2" x14ac:dyDescent="0.3">
      <c r="A812" s="2"/>
      <c r="B812" s="2"/>
    </row>
    <row r="813" spans="1:2" x14ac:dyDescent="0.3">
      <c r="A813" s="2"/>
      <c r="B813" s="2"/>
    </row>
    <row r="814" spans="1:2" x14ac:dyDescent="0.3">
      <c r="A814" s="2"/>
      <c r="B814" s="2"/>
    </row>
    <row r="815" spans="1:2" x14ac:dyDescent="0.3">
      <c r="A815" s="2"/>
      <c r="B815" s="2"/>
    </row>
    <row r="816" spans="1:2" x14ac:dyDescent="0.3">
      <c r="A816" s="2"/>
      <c r="B816" s="2"/>
    </row>
    <row r="817" spans="1:2" x14ac:dyDescent="0.3">
      <c r="A817" s="2"/>
      <c r="B817" s="2"/>
    </row>
    <row r="818" spans="1:2" x14ac:dyDescent="0.3">
      <c r="A818" s="2"/>
      <c r="B818" s="2"/>
    </row>
    <row r="819" spans="1:2" x14ac:dyDescent="0.3">
      <c r="A819" s="2"/>
      <c r="B819" s="2"/>
    </row>
    <row r="820" spans="1:2" x14ac:dyDescent="0.3">
      <c r="A820" s="2"/>
      <c r="B820" s="2"/>
    </row>
    <row r="821" spans="1:2" x14ac:dyDescent="0.3">
      <c r="A821" s="2"/>
      <c r="B821" s="2"/>
    </row>
    <row r="822" spans="1:2" x14ac:dyDescent="0.3">
      <c r="A822" s="2"/>
      <c r="B822" s="2"/>
    </row>
    <row r="823" spans="1:2" x14ac:dyDescent="0.3">
      <c r="A823" s="2"/>
      <c r="B823" s="2"/>
    </row>
    <row r="824" spans="1:2" x14ac:dyDescent="0.3">
      <c r="A824" s="2"/>
      <c r="B824" s="2"/>
    </row>
    <row r="825" spans="1:2" x14ac:dyDescent="0.3">
      <c r="A825" s="2"/>
      <c r="B825" s="2"/>
    </row>
    <row r="826" spans="1:2" x14ac:dyDescent="0.3">
      <c r="A826" s="2"/>
      <c r="B826" s="2"/>
    </row>
    <row r="827" spans="1:2" x14ac:dyDescent="0.3">
      <c r="A827" s="2"/>
      <c r="B827" s="2"/>
    </row>
    <row r="828" spans="1:2" x14ac:dyDescent="0.3">
      <c r="A828" s="2"/>
      <c r="B828" s="2"/>
    </row>
    <row r="829" spans="1:2" x14ac:dyDescent="0.3">
      <c r="A829" s="2"/>
      <c r="B829" s="2"/>
    </row>
    <row r="830" spans="1:2" x14ac:dyDescent="0.3">
      <c r="A830" s="2"/>
      <c r="B830" s="2"/>
    </row>
    <row r="831" spans="1:2" x14ac:dyDescent="0.3">
      <c r="A831" s="2"/>
      <c r="B831" s="2"/>
    </row>
    <row r="832" spans="1:2" x14ac:dyDescent="0.3">
      <c r="A832" s="2"/>
      <c r="B832" s="2"/>
    </row>
    <row r="833" spans="1:2" x14ac:dyDescent="0.3">
      <c r="A833" s="2"/>
      <c r="B833" s="2"/>
    </row>
    <row r="834" spans="1:2" x14ac:dyDescent="0.3">
      <c r="A834" s="2"/>
      <c r="B834" s="2"/>
    </row>
    <row r="835" spans="1:2" x14ac:dyDescent="0.3">
      <c r="A835" s="2"/>
      <c r="B835" s="2"/>
    </row>
    <row r="836" spans="1:2" x14ac:dyDescent="0.3">
      <c r="A836" s="2"/>
      <c r="B836" s="2"/>
    </row>
    <row r="837" spans="1:2" x14ac:dyDescent="0.3">
      <c r="A837" s="2"/>
      <c r="B837" s="2"/>
    </row>
    <row r="838" spans="1:2" x14ac:dyDescent="0.3">
      <c r="A838" s="2"/>
      <c r="B838" s="2"/>
    </row>
    <row r="839" spans="1:2" x14ac:dyDescent="0.3">
      <c r="A839" s="2"/>
      <c r="B839" s="2"/>
    </row>
    <row r="840" spans="1:2" x14ac:dyDescent="0.3">
      <c r="A840" s="2"/>
      <c r="B840" s="2"/>
    </row>
    <row r="841" spans="1:2" x14ac:dyDescent="0.3">
      <c r="A841" s="2"/>
      <c r="B841" s="2"/>
    </row>
    <row r="842" spans="1:2" x14ac:dyDescent="0.3">
      <c r="A842" s="2"/>
      <c r="B842" s="2"/>
    </row>
    <row r="843" spans="1:2" x14ac:dyDescent="0.3">
      <c r="A843" s="2"/>
      <c r="B843" s="2"/>
    </row>
    <row r="844" spans="1:2" x14ac:dyDescent="0.3">
      <c r="A844" s="2"/>
      <c r="B844" s="2"/>
    </row>
    <row r="845" spans="1:2" x14ac:dyDescent="0.3">
      <c r="A845" s="2"/>
      <c r="B845" s="2"/>
    </row>
    <row r="846" spans="1:2" x14ac:dyDescent="0.3">
      <c r="A846" s="2"/>
      <c r="B846" s="2"/>
    </row>
    <row r="847" spans="1:2" x14ac:dyDescent="0.3">
      <c r="A847" s="2"/>
      <c r="B847" s="2"/>
    </row>
    <row r="848" spans="1:2" x14ac:dyDescent="0.3">
      <c r="A848" s="2"/>
      <c r="B848" s="2"/>
    </row>
    <row r="849" spans="1:2" x14ac:dyDescent="0.3">
      <c r="A849" s="2"/>
      <c r="B849" s="2"/>
    </row>
    <row r="850" spans="1:2" x14ac:dyDescent="0.3">
      <c r="A850" s="2"/>
      <c r="B850" s="2"/>
    </row>
    <row r="851" spans="1:2" x14ac:dyDescent="0.3">
      <c r="A851" s="2"/>
      <c r="B851" s="2"/>
    </row>
    <row r="852" spans="1:2" x14ac:dyDescent="0.3">
      <c r="A852" s="2"/>
      <c r="B852" s="2"/>
    </row>
    <row r="853" spans="1:2" x14ac:dyDescent="0.3">
      <c r="A853" s="2"/>
      <c r="B853" s="2"/>
    </row>
    <row r="854" spans="1:2" x14ac:dyDescent="0.3">
      <c r="A854" s="2"/>
      <c r="B854" s="2"/>
    </row>
    <row r="855" spans="1:2" x14ac:dyDescent="0.3">
      <c r="A855" s="2"/>
      <c r="B855" s="2"/>
    </row>
    <row r="856" spans="1:2" x14ac:dyDescent="0.3">
      <c r="A856" s="2"/>
      <c r="B856" s="2"/>
    </row>
    <row r="857" spans="1:2" x14ac:dyDescent="0.3">
      <c r="A857" s="2"/>
      <c r="B857" s="2"/>
    </row>
    <row r="858" spans="1:2" x14ac:dyDescent="0.3">
      <c r="A858" s="2"/>
      <c r="B858" s="2"/>
    </row>
    <row r="859" spans="1:2" x14ac:dyDescent="0.3">
      <c r="A859" s="2"/>
      <c r="B859" s="2"/>
    </row>
    <row r="860" spans="1:2" x14ac:dyDescent="0.3">
      <c r="A860" s="2"/>
      <c r="B860" s="2"/>
    </row>
    <row r="861" spans="1:2" x14ac:dyDescent="0.3">
      <c r="A861" s="2"/>
      <c r="B861" s="2"/>
    </row>
    <row r="862" spans="1:2" x14ac:dyDescent="0.3">
      <c r="A862" s="2"/>
      <c r="B862" s="2"/>
    </row>
    <row r="863" spans="1:2" x14ac:dyDescent="0.3">
      <c r="A863" s="2"/>
      <c r="B863" s="2"/>
    </row>
    <row r="864" spans="1:2" x14ac:dyDescent="0.3">
      <c r="A864" s="2"/>
      <c r="B864" s="2"/>
    </row>
    <row r="865" spans="1:2" x14ac:dyDescent="0.3">
      <c r="A865" s="2"/>
      <c r="B865" s="2"/>
    </row>
    <row r="866" spans="1:2" x14ac:dyDescent="0.3">
      <c r="A866" s="2"/>
      <c r="B866" s="2"/>
    </row>
    <row r="867" spans="1:2" x14ac:dyDescent="0.3">
      <c r="A867" s="2"/>
      <c r="B867" s="2"/>
    </row>
    <row r="868" spans="1:2" x14ac:dyDescent="0.3">
      <c r="A868" s="2"/>
      <c r="B868" s="2"/>
    </row>
    <row r="869" spans="1:2" x14ac:dyDescent="0.3">
      <c r="A869" s="2"/>
      <c r="B869" s="2"/>
    </row>
    <row r="870" spans="1:2" x14ac:dyDescent="0.3">
      <c r="A870" s="2"/>
      <c r="B870" s="2"/>
    </row>
    <row r="871" spans="1:2" x14ac:dyDescent="0.3">
      <c r="A871" s="2"/>
      <c r="B871" s="2"/>
    </row>
    <row r="872" spans="1:2" x14ac:dyDescent="0.3">
      <c r="A872" s="2"/>
      <c r="B872" s="2"/>
    </row>
    <row r="873" spans="1:2" x14ac:dyDescent="0.3">
      <c r="A873" s="2"/>
      <c r="B873" s="2"/>
    </row>
    <row r="874" spans="1:2" x14ac:dyDescent="0.3">
      <c r="A874" s="2"/>
      <c r="B874" s="2"/>
    </row>
    <row r="875" spans="1:2" x14ac:dyDescent="0.3">
      <c r="A875" s="2"/>
      <c r="B875" s="2"/>
    </row>
    <row r="876" spans="1:2" x14ac:dyDescent="0.3">
      <c r="A876" s="2"/>
      <c r="B876" s="2"/>
    </row>
    <row r="877" spans="1:2" x14ac:dyDescent="0.3">
      <c r="A877" s="2"/>
      <c r="B877" s="2"/>
    </row>
    <row r="878" spans="1:2" x14ac:dyDescent="0.3">
      <c r="A878" s="2"/>
      <c r="B878" s="2"/>
    </row>
    <row r="879" spans="1:2" x14ac:dyDescent="0.3">
      <c r="A879" s="2"/>
      <c r="B879" s="2"/>
    </row>
    <row r="880" spans="1:2" x14ac:dyDescent="0.3">
      <c r="A880" s="2"/>
      <c r="B880" s="2"/>
    </row>
    <row r="881" spans="1:2" x14ac:dyDescent="0.3">
      <c r="A881" s="2"/>
      <c r="B881" s="2"/>
    </row>
    <row r="882" spans="1:2" x14ac:dyDescent="0.3">
      <c r="A882" s="2"/>
      <c r="B882" s="2"/>
    </row>
    <row r="883" spans="1:2" x14ac:dyDescent="0.3">
      <c r="A883" s="2"/>
      <c r="B883" s="2"/>
    </row>
    <row r="884" spans="1:2" x14ac:dyDescent="0.3">
      <c r="A884" s="2"/>
      <c r="B884" s="2"/>
    </row>
    <row r="885" spans="1:2" x14ac:dyDescent="0.3">
      <c r="A885" s="2"/>
      <c r="B885" s="2"/>
    </row>
    <row r="886" spans="1:2" x14ac:dyDescent="0.3">
      <c r="A886" s="2"/>
      <c r="B886" s="2"/>
    </row>
    <row r="887" spans="1:2" x14ac:dyDescent="0.3">
      <c r="A887" s="2"/>
      <c r="B887" s="2"/>
    </row>
    <row r="888" spans="1:2" x14ac:dyDescent="0.3">
      <c r="A888" s="2"/>
      <c r="B888" s="2"/>
    </row>
    <row r="889" spans="1:2" x14ac:dyDescent="0.3">
      <c r="A889" s="2"/>
      <c r="B889" s="2"/>
    </row>
    <row r="890" spans="1:2" x14ac:dyDescent="0.3">
      <c r="A890" s="2"/>
      <c r="B890" s="2"/>
    </row>
    <row r="891" spans="1:2" x14ac:dyDescent="0.3">
      <c r="A891" s="2"/>
      <c r="B891" s="2"/>
    </row>
    <row r="892" spans="1:2" x14ac:dyDescent="0.3">
      <c r="A892" s="2"/>
      <c r="B892" s="2"/>
    </row>
    <row r="893" spans="1:2" x14ac:dyDescent="0.3">
      <c r="A893" s="2"/>
      <c r="B893" s="2"/>
    </row>
    <row r="894" spans="1:2" x14ac:dyDescent="0.3">
      <c r="A894" s="2"/>
      <c r="B894" s="2"/>
    </row>
    <row r="895" spans="1:2" x14ac:dyDescent="0.3">
      <c r="A895" s="2"/>
      <c r="B895" s="2"/>
    </row>
    <row r="896" spans="1:2" x14ac:dyDescent="0.3">
      <c r="A896" s="2"/>
      <c r="B896" s="2"/>
    </row>
    <row r="897" spans="1:2" x14ac:dyDescent="0.3">
      <c r="A897" s="2"/>
      <c r="B897" s="2"/>
    </row>
    <row r="898" spans="1:2" x14ac:dyDescent="0.3">
      <c r="A898" s="2"/>
      <c r="B898" s="2"/>
    </row>
    <row r="899" spans="1:2" x14ac:dyDescent="0.3">
      <c r="A899" s="2"/>
      <c r="B899" s="2"/>
    </row>
    <row r="900" spans="1:2" x14ac:dyDescent="0.3">
      <c r="A900" s="2"/>
      <c r="B900" s="2"/>
    </row>
    <row r="901" spans="1:2" x14ac:dyDescent="0.3">
      <c r="A901" s="2"/>
      <c r="B901" s="2"/>
    </row>
    <row r="902" spans="1:2" x14ac:dyDescent="0.3">
      <c r="A902" s="2"/>
      <c r="B902" s="2"/>
    </row>
    <row r="903" spans="1:2" x14ac:dyDescent="0.3">
      <c r="A903" s="2"/>
      <c r="B903" s="2"/>
    </row>
    <row r="904" spans="1:2" x14ac:dyDescent="0.3">
      <c r="A904" s="2"/>
      <c r="B904" s="2"/>
    </row>
    <row r="905" spans="1:2" x14ac:dyDescent="0.3">
      <c r="A905" s="2"/>
      <c r="B905" s="2"/>
    </row>
    <row r="906" spans="1:2" x14ac:dyDescent="0.3">
      <c r="A906" s="2"/>
      <c r="B906" s="2"/>
    </row>
    <row r="907" spans="1:2" x14ac:dyDescent="0.3">
      <c r="A907" s="2"/>
      <c r="B907" s="2"/>
    </row>
    <row r="908" spans="1:2" x14ac:dyDescent="0.3">
      <c r="A908" s="2"/>
      <c r="B908" s="2"/>
    </row>
    <row r="909" spans="1:2" x14ac:dyDescent="0.3">
      <c r="A909" s="2"/>
      <c r="B909" s="2"/>
    </row>
    <row r="910" spans="1:2" x14ac:dyDescent="0.3">
      <c r="A910" s="2"/>
      <c r="B910" s="2"/>
    </row>
    <row r="911" spans="1:2" x14ac:dyDescent="0.3">
      <c r="A911" s="2"/>
      <c r="B911" s="2"/>
    </row>
    <row r="912" spans="1:2" x14ac:dyDescent="0.3">
      <c r="A912" s="2"/>
      <c r="B912" s="2"/>
    </row>
    <row r="913" spans="1:2" x14ac:dyDescent="0.3">
      <c r="A913" s="2"/>
      <c r="B913" s="2"/>
    </row>
    <row r="914" spans="1:2" x14ac:dyDescent="0.3">
      <c r="A914" s="2"/>
      <c r="B914" s="2"/>
    </row>
    <row r="915" spans="1:2" x14ac:dyDescent="0.3">
      <c r="A915" s="2"/>
      <c r="B915" s="2"/>
    </row>
    <row r="916" spans="1:2" x14ac:dyDescent="0.3">
      <c r="A916" s="2"/>
      <c r="B916" s="2"/>
    </row>
    <row r="917" spans="1:2" x14ac:dyDescent="0.3">
      <c r="A917" s="2"/>
      <c r="B917" s="2"/>
    </row>
    <row r="918" spans="1:2" x14ac:dyDescent="0.3">
      <c r="A918" s="2"/>
      <c r="B918" s="2"/>
    </row>
    <row r="919" spans="1:2" x14ac:dyDescent="0.3">
      <c r="A919" s="2"/>
      <c r="B919" s="2"/>
    </row>
    <row r="920" spans="1:2" x14ac:dyDescent="0.3">
      <c r="A920" s="2"/>
      <c r="B920" s="2"/>
    </row>
    <row r="921" spans="1:2" x14ac:dyDescent="0.3">
      <c r="A921" s="2"/>
      <c r="B921" s="2"/>
    </row>
    <row r="922" spans="1:2" x14ac:dyDescent="0.3">
      <c r="A922" s="2"/>
      <c r="B922" s="2"/>
    </row>
    <row r="923" spans="1:2" x14ac:dyDescent="0.3">
      <c r="A923" s="2"/>
      <c r="B923" s="2"/>
    </row>
    <row r="924" spans="1:2" x14ac:dyDescent="0.3">
      <c r="A924" s="2"/>
      <c r="B924" s="2"/>
    </row>
    <row r="925" spans="1:2" x14ac:dyDescent="0.3">
      <c r="A925" s="2"/>
      <c r="B925" s="2"/>
    </row>
    <row r="926" spans="1:2" x14ac:dyDescent="0.3">
      <c r="A926" s="2"/>
      <c r="B926" s="2"/>
    </row>
    <row r="927" spans="1:2" x14ac:dyDescent="0.3">
      <c r="A927" s="2"/>
      <c r="B927" s="2"/>
    </row>
    <row r="928" spans="1:2" x14ac:dyDescent="0.3">
      <c r="A928" s="2"/>
      <c r="B928" s="2"/>
    </row>
    <row r="929" spans="1:2" x14ac:dyDescent="0.3">
      <c r="A929" s="2"/>
      <c r="B929" s="2"/>
    </row>
    <row r="930" spans="1:2" x14ac:dyDescent="0.3">
      <c r="A930" s="2"/>
      <c r="B930" s="2"/>
    </row>
    <row r="931" spans="1:2" x14ac:dyDescent="0.3">
      <c r="A931" s="2"/>
      <c r="B931" s="2"/>
    </row>
    <row r="932" spans="1:2" x14ac:dyDescent="0.3">
      <c r="A932" s="2"/>
      <c r="B932" s="2"/>
    </row>
    <row r="933" spans="1:2" x14ac:dyDescent="0.3">
      <c r="A933" s="2"/>
      <c r="B933" s="2"/>
    </row>
    <row r="934" spans="1:2" x14ac:dyDescent="0.3">
      <c r="A934" s="2"/>
      <c r="B934" s="2"/>
    </row>
    <row r="935" spans="1:2" x14ac:dyDescent="0.3">
      <c r="A935" s="2"/>
      <c r="B935" s="2"/>
    </row>
    <row r="936" spans="1:2" x14ac:dyDescent="0.3">
      <c r="A936" s="2"/>
      <c r="B936" s="2"/>
    </row>
    <row r="937" spans="1:2" x14ac:dyDescent="0.3">
      <c r="A937" s="2"/>
      <c r="B937" s="2"/>
    </row>
    <row r="938" spans="1:2" x14ac:dyDescent="0.3">
      <c r="A938" s="2"/>
      <c r="B938" s="2"/>
    </row>
    <row r="939" spans="1:2" x14ac:dyDescent="0.3">
      <c r="A939" s="2"/>
      <c r="B939" s="2"/>
    </row>
    <row r="940" spans="1:2" x14ac:dyDescent="0.3">
      <c r="A940" s="2"/>
      <c r="B940" s="2"/>
    </row>
    <row r="941" spans="1:2" x14ac:dyDescent="0.3">
      <c r="A941" s="2"/>
      <c r="B941" s="2"/>
    </row>
    <row r="942" spans="1:2" x14ac:dyDescent="0.3">
      <c r="A942" s="2"/>
      <c r="B942" s="2"/>
    </row>
    <row r="943" spans="1:2" x14ac:dyDescent="0.3">
      <c r="A943" s="2"/>
      <c r="B943" s="2"/>
    </row>
    <row r="944" spans="1:2" x14ac:dyDescent="0.3">
      <c r="A944" s="2"/>
      <c r="B944" s="2"/>
    </row>
    <row r="945" spans="1:2" x14ac:dyDescent="0.3">
      <c r="A945" s="2"/>
      <c r="B945" s="2"/>
    </row>
    <row r="946" spans="1:2" x14ac:dyDescent="0.3">
      <c r="A946" s="2"/>
      <c r="B946" s="2"/>
    </row>
    <row r="947" spans="1:2" x14ac:dyDescent="0.3">
      <c r="A947" s="2"/>
      <c r="B947" s="2"/>
    </row>
    <row r="948" spans="1:2" x14ac:dyDescent="0.3">
      <c r="A948" s="2"/>
      <c r="B948" s="2"/>
    </row>
    <row r="949" spans="1:2" x14ac:dyDescent="0.3">
      <c r="A949" s="2"/>
      <c r="B949" s="2"/>
    </row>
    <row r="950" spans="1:2" x14ac:dyDescent="0.3">
      <c r="A950" s="2"/>
      <c r="B950" s="2"/>
    </row>
    <row r="951" spans="1:2" x14ac:dyDescent="0.3">
      <c r="A951" s="2"/>
      <c r="B951" s="2"/>
    </row>
    <row r="952" spans="1:2" x14ac:dyDescent="0.3">
      <c r="A952" s="2"/>
      <c r="B952" s="2"/>
    </row>
    <row r="953" spans="1:2" x14ac:dyDescent="0.3">
      <c r="A953" s="2"/>
      <c r="B953" s="2"/>
    </row>
    <row r="954" spans="1:2" x14ac:dyDescent="0.3">
      <c r="A954" s="2"/>
      <c r="B954" s="2"/>
    </row>
    <row r="955" spans="1:2" x14ac:dyDescent="0.3">
      <c r="A955" s="2"/>
      <c r="B955" s="2"/>
    </row>
    <row r="956" spans="1:2" x14ac:dyDescent="0.3">
      <c r="A956" s="2"/>
      <c r="B956" s="2"/>
    </row>
    <row r="957" spans="1:2" x14ac:dyDescent="0.3">
      <c r="A957" s="2"/>
      <c r="B957" s="2"/>
    </row>
    <row r="958" spans="1:2" x14ac:dyDescent="0.3">
      <c r="A958" s="2"/>
      <c r="B958" s="2"/>
    </row>
    <row r="959" spans="1:2" x14ac:dyDescent="0.3">
      <c r="A959" s="2"/>
      <c r="B959" s="2"/>
    </row>
    <row r="960" spans="1:2" x14ac:dyDescent="0.3">
      <c r="A960" s="2"/>
      <c r="B960" s="2"/>
    </row>
    <row r="961" spans="1:2" x14ac:dyDescent="0.3">
      <c r="A961" s="2"/>
      <c r="B961" s="2"/>
    </row>
    <row r="962" spans="1:2" x14ac:dyDescent="0.3">
      <c r="A962" s="2"/>
      <c r="B962" s="2"/>
    </row>
    <row r="963" spans="1:2" x14ac:dyDescent="0.3">
      <c r="A963" s="2"/>
      <c r="B963" s="2"/>
    </row>
    <row r="964" spans="1:2" x14ac:dyDescent="0.3">
      <c r="A964" s="2"/>
      <c r="B964" s="2"/>
    </row>
    <row r="965" spans="1:2" x14ac:dyDescent="0.3">
      <c r="A965" s="2"/>
      <c r="B965" s="2"/>
    </row>
    <row r="966" spans="1:2" x14ac:dyDescent="0.3">
      <c r="A966" s="2"/>
      <c r="B966" s="2"/>
    </row>
    <row r="967" spans="1:2" x14ac:dyDescent="0.3">
      <c r="A967" s="2"/>
      <c r="B967" s="2"/>
    </row>
    <row r="968" spans="1:2" x14ac:dyDescent="0.3">
      <c r="A968" s="2"/>
      <c r="B968" s="2"/>
    </row>
    <row r="969" spans="1:2" x14ac:dyDescent="0.3">
      <c r="A969" s="2"/>
      <c r="B969" s="2"/>
    </row>
    <row r="970" spans="1:2" x14ac:dyDescent="0.3">
      <c r="A970" s="2"/>
      <c r="B970" s="2"/>
    </row>
    <row r="971" spans="1:2" x14ac:dyDescent="0.3">
      <c r="A971" s="2"/>
      <c r="B971" s="2"/>
    </row>
    <row r="972" spans="1:2" x14ac:dyDescent="0.3">
      <c r="A972" s="2"/>
      <c r="B972" s="2"/>
    </row>
    <row r="973" spans="1:2" x14ac:dyDescent="0.3">
      <c r="A973" s="2"/>
      <c r="B973" s="2"/>
    </row>
    <row r="974" spans="1:2" x14ac:dyDescent="0.3">
      <c r="A974" s="2"/>
      <c r="B974" s="2"/>
    </row>
    <row r="975" spans="1:2" x14ac:dyDescent="0.3">
      <c r="A975" s="2"/>
      <c r="B975" s="2"/>
    </row>
    <row r="976" spans="1:2" x14ac:dyDescent="0.3">
      <c r="A976" s="2"/>
      <c r="B976" s="2"/>
    </row>
    <row r="977" spans="1:2" x14ac:dyDescent="0.3">
      <c r="A977" s="2"/>
      <c r="B977" s="2"/>
    </row>
    <row r="978" spans="1:2" x14ac:dyDescent="0.3">
      <c r="A978" s="2"/>
      <c r="B978" s="2"/>
    </row>
    <row r="979" spans="1:2" x14ac:dyDescent="0.3">
      <c r="A979" s="2"/>
      <c r="B979" s="2"/>
    </row>
    <row r="980" spans="1:2" x14ac:dyDescent="0.3">
      <c r="A980" s="2"/>
      <c r="B980" s="2"/>
    </row>
    <row r="981" spans="1:2" x14ac:dyDescent="0.3">
      <c r="A981" s="2"/>
      <c r="B981" s="2"/>
    </row>
    <row r="982" spans="1:2" x14ac:dyDescent="0.3">
      <c r="A982" s="2"/>
      <c r="B982" s="2"/>
    </row>
    <row r="983" spans="1:2" x14ac:dyDescent="0.3">
      <c r="A983" s="2"/>
      <c r="B983" s="2"/>
    </row>
    <row r="984" spans="1:2" x14ac:dyDescent="0.3">
      <c r="A984" s="2"/>
      <c r="B984" s="2"/>
    </row>
    <row r="985" spans="1:2" x14ac:dyDescent="0.3">
      <c r="A985" s="2"/>
      <c r="B985" s="2"/>
    </row>
    <row r="986" spans="1:2" x14ac:dyDescent="0.3">
      <c r="A986" s="2"/>
      <c r="B986" s="2"/>
    </row>
    <row r="987" spans="1:2" x14ac:dyDescent="0.3">
      <c r="A987" s="2"/>
      <c r="B987" s="2"/>
    </row>
    <row r="988" spans="1:2" x14ac:dyDescent="0.3">
      <c r="A988" s="2"/>
      <c r="B988" s="2"/>
    </row>
    <row r="989" spans="1:2" x14ac:dyDescent="0.3">
      <c r="A989" s="2"/>
      <c r="B989" s="2"/>
    </row>
    <row r="990" spans="1:2" x14ac:dyDescent="0.3">
      <c r="A990" s="2"/>
      <c r="B990" s="2"/>
    </row>
    <row r="991" spans="1:2" x14ac:dyDescent="0.3">
      <c r="A991" s="2"/>
      <c r="B991" s="2"/>
    </row>
    <row r="992" spans="1:2" x14ac:dyDescent="0.3">
      <c r="A992" s="2"/>
      <c r="B992" s="2"/>
    </row>
    <row r="993" spans="1:2" x14ac:dyDescent="0.3">
      <c r="A993" s="2"/>
      <c r="B993" s="2"/>
    </row>
    <row r="994" spans="1:2" x14ac:dyDescent="0.3">
      <c r="A994" s="2"/>
      <c r="B994" s="2"/>
    </row>
    <row r="995" spans="1:2" x14ac:dyDescent="0.3">
      <c r="A995" s="2"/>
      <c r="B995" s="2"/>
    </row>
    <row r="996" spans="1:2" x14ac:dyDescent="0.3">
      <c r="A996" s="2"/>
      <c r="B996" s="2"/>
    </row>
    <row r="997" spans="1:2" x14ac:dyDescent="0.3">
      <c r="A997" s="2"/>
      <c r="B997" s="2"/>
    </row>
    <row r="998" spans="1:2" x14ac:dyDescent="0.3">
      <c r="A998" s="2"/>
      <c r="B998" s="2"/>
    </row>
    <row r="999" spans="1:2" x14ac:dyDescent="0.3">
      <c r="A999" s="2"/>
      <c r="B999" s="2"/>
    </row>
    <row r="1000" spans="1:2" x14ac:dyDescent="0.3">
      <c r="A1000" s="2"/>
      <c r="B1000" s="2"/>
    </row>
    <row r="1001" spans="1:2" x14ac:dyDescent="0.3">
      <c r="A1001" s="2"/>
      <c r="B1001" s="2"/>
    </row>
    <row r="1002" spans="1:2" x14ac:dyDescent="0.3">
      <c r="A1002" s="2"/>
      <c r="B1002" s="2"/>
    </row>
    <row r="1003" spans="1:2" x14ac:dyDescent="0.3">
      <c r="A1003" s="2"/>
      <c r="B1003" s="2"/>
    </row>
    <row r="1004" spans="1:2" x14ac:dyDescent="0.3">
      <c r="A1004" s="2"/>
      <c r="B1004" s="2"/>
    </row>
    <row r="1005" spans="1:2" x14ac:dyDescent="0.3">
      <c r="A1005" s="2"/>
      <c r="B1005" s="2"/>
    </row>
    <row r="1006" spans="1:2" x14ac:dyDescent="0.3">
      <c r="A1006" s="2"/>
      <c r="B1006" s="2"/>
    </row>
    <row r="1007" spans="1:2" x14ac:dyDescent="0.3">
      <c r="A1007" s="2"/>
      <c r="B1007" s="2"/>
    </row>
    <row r="1008" spans="1:2" x14ac:dyDescent="0.3">
      <c r="A1008" s="2"/>
      <c r="B1008" s="2"/>
    </row>
    <row r="1009" spans="1:2" x14ac:dyDescent="0.3">
      <c r="A1009" s="2"/>
      <c r="B1009" s="2"/>
    </row>
    <row r="1010" spans="1:2" x14ac:dyDescent="0.3">
      <c r="A1010" s="2"/>
      <c r="B1010" s="2"/>
    </row>
    <row r="1011" spans="1:2" x14ac:dyDescent="0.3">
      <c r="A1011" s="2"/>
      <c r="B1011" s="2"/>
    </row>
    <row r="1012" spans="1:2" x14ac:dyDescent="0.3">
      <c r="A1012" s="2"/>
      <c r="B1012" s="2"/>
    </row>
    <row r="1013" spans="1:2" x14ac:dyDescent="0.3">
      <c r="A1013" s="2"/>
      <c r="B1013" s="2"/>
    </row>
    <row r="1014" spans="1:2" x14ac:dyDescent="0.3">
      <c r="A1014" s="2"/>
      <c r="B1014" s="2"/>
    </row>
    <row r="1015" spans="1:2" x14ac:dyDescent="0.3">
      <c r="A1015" s="2"/>
      <c r="B1015" s="2"/>
    </row>
    <row r="1016" spans="1:2" x14ac:dyDescent="0.3">
      <c r="A1016" s="2"/>
      <c r="B1016" s="2"/>
    </row>
    <row r="1017" spans="1:2" x14ac:dyDescent="0.3">
      <c r="A1017" s="2"/>
      <c r="B1017" s="2"/>
    </row>
    <row r="1018" spans="1:2" x14ac:dyDescent="0.3">
      <c r="A1018" s="2"/>
      <c r="B1018" s="2"/>
    </row>
    <row r="1019" spans="1:2" x14ac:dyDescent="0.3">
      <c r="A1019" s="2"/>
      <c r="B1019" s="2"/>
    </row>
    <row r="1020" spans="1:2" x14ac:dyDescent="0.3">
      <c r="A1020" s="2"/>
      <c r="B1020" s="2"/>
    </row>
    <row r="1021" spans="1:2" x14ac:dyDescent="0.3">
      <c r="A1021" s="2"/>
      <c r="B1021" s="2"/>
    </row>
    <row r="1022" spans="1:2" x14ac:dyDescent="0.3">
      <c r="A1022" s="2"/>
      <c r="B1022" s="2"/>
    </row>
    <row r="1023" spans="1:2" x14ac:dyDescent="0.3">
      <c r="A1023" s="2"/>
      <c r="B1023" s="2"/>
    </row>
    <row r="1024" spans="1:2" x14ac:dyDescent="0.3">
      <c r="A1024" s="2"/>
      <c r="B1024" s="2"/>
    </row>
    <row r="1025" spans="1:2" x14ac:dyDescent="0.3">
      <c r="A1025" s="2"/>
      <c r="B1025" s="2"/>
    </row>
    <row r="1026" spans="1:2" x14ac:dyDescent="0.3">
      <c r="A1026" s="2"/>
      <c r="B1026" s="2"/>
    </row>
    <row r="1027" spans="1:2" x14ac:dyDescent="0.3">
      <c r="A1027" s="2"/>
      <c r="B1027" s="2"/>
    </row>
    <row r="1028" spans="1:2" x14ac:dyDescent="0.3">
      <c r="A1028" s="2"/>
      <c r="B1028" s="2"/>
    </row>
    <row r="1029" spans="1:2" x14ac:dyDescent="0.3">
      <c r="A1029" s="2"/>
      <c r="B1029" s="2"/>
    </row>
    <row r="1030" spans="1:2" x14ac:dyDescent="0.3">
      <c r="A1030" s="2"/>
      <c r="B1030" s="2"/>
    </row>
    <row r="1031" spans="1:2" x14ac:dyDescent="0.3">
      <c r="A1031" s="2"/>
      <c r="B1031" s="2"/>
    </row>
    <row r="1032" spans="1:2" x14ac:dyDescent="0.3">
      <c r="A1032" s="2"/>
      <c r="B1032" s="2"/>
    </row>
    <row r="1033" spans="1:2" x14ac:dyDescent="0.3">
      <c r="A1033" s="2"/>
      <c r="B1033" s="2"/>
    </row>
    <row r="1034" spans="1:2" x14ac:dyDescent="0.3">
      <c r="A1034" s="2"/>
      <c r="B1034" s="2"/>
    </row>
    <row r="1035" spans="1:2" x14ac:dyDescent="0.3">
      <c r="A1035" s="2"/>
      <c r="B1035" s="2"/>
    </row>
    <row r="1036" spans="1:2" x14ac:dyDescent="0.3">
      <c r="A1036" s="2"/>
      <c r="B1036" s="2"/>
    </row>
    <row r="1037" spans="1:2" x14ac:dyDescent="0.3">
      <c r="A1037" s="2"/>
      <c r="B1037" s="2"/>
    </row>
    <row r="1038" spans="1:2" x14ac:dyDescent="0.3">
      <c r="A1038" s="2"/>
      <c r="B1038" s="2"/>
    </row>
    <row r="1039" spans="1:2" x14ac:dyDescent="0.3">
      <c r="A1039" s="2"/>
      <c r="B1039" s="2"/>
    </row>
    <row r="1040" spans="1:2" x14ac:dyDescent="0.3">
      <c r="A1040" s="2"/>
      <c r="B1040" s="2"/>
    </row>
    <row r="1041" spans="1:2" x14ac:dyDescent="0.3">
      <c r="A1041" s="2"/>
      <c r="B1041" s="2"/>
    </row>
    <row r="1042" spans="1:2" x14ac:dyDescent="0.3">
      <c r="A1042" s="2"/>
      <c r="B1042" s="2"/>
    </row>
    <row r="1043" spans="1:2" x14ac:dyDescent="0.3">
      <c r="A1043" s="2"/>
      <c r="B1043" s="2"/>
    </row>
    <row r="1044" spans="1:2" x14ac:dyDescent="0.3">
      <c r="A1044" s="2"/>
      <c r="B1044" s="2"/>
    </row>
    <row r="1045" spans="1:2" x14ac:dyDescent="0.3">
      <c r="A1045" s="2"/>
      <c r="B1045" s="2"/>
    </row>
    <row r="1046" spans="1:2" x14ac:dyDescent="0.3">
      <c r="A1046" s="2"/>
      <c r="B1046" s="2"/>
    </row>
    <row r="1047" spans="1:2" x14ac:dyDescent="0.3">
      <c r="A1047" s="2"/>
      <c r="B1047" s="2"/>
    </row>
    <row r="1048" spans="1:2" x14ac:dyDescent="0.3">
      <c r="A1048" s="2"/>
      <c r="B1048" s="2"/>
    </row>
    <row r="1049" spans="1:2" x14ac:dyDescent="0.3">
      <c r="A1049" s="2"/>
      <c r="B1049" s="2"/>
    </row>
    <row r="1050" spans="1:2" x14ac:dyDescent="0.3">
      <c r="A1050" s="2"/>
      <c r="B1050" s="2"/>
    </row>
    <row r="1051" spans="1:2" x14ac:dyDescent="0.3">
      <c r="A1051" s="2"/>
      <c r="B1051" s="2"/>
    </row>
    <row r="1052" spans="1:2" x14ac:dyDescent="0.3">
      <c r="A1052" s="2"/>
      <c r="B1052" s="2"/>
    </row>
    <row r="1053" spans="1:2" x14ac:dyDescent="0.3">
      <c r="A1053" s="2"/>
      <c r="B1053" s="2"/>
    </row>
    <row r="1054" spans="1:2" x14ac:dyDescent="0.3">
      <c r="A1054" s="2"/>
      <c r="B1054" s="2"/>
    </row>
    <row r="1055" spans="1:2" x14ac:dyDescent="0.3">
      <c r="A1055" s="2"/>
      <c r="B1055" s="2"/>
    </row>
    <row r="1056" spans="1:2" x14ac:dyDescent="0.3">
      <c r="A1056" s="2"/>
      <c r="B1056" s="2"/>
    </row>
    <row r="1057" spans="1:2" x14ac:dyDescent="0.3">
      <c r="A1057" s="2"/>
      <c r="B1057" s="2"/>
    </row>
    <row r="1058" spans="1:2" x14ac:dyDescent="0.3">
      <c r="A1058" s="2"/>
      <c r="B1058" s="2"/>
    </row>
    <row r="1059" spans="1:2" x14ac:dyDescent="0.3">
      <c r="A1059" s="2"/>
      <c r="B1059" s="2"/>
    </row>
    <row r="1060" spans="1:2" x14ac:dyDescent="0.3">
      <c r="A1060" s="2"/>
      <c r="B1060" s="2"/>
    </row>
    <row r="1061" spans="1:2" x14ac:dyDescent="0.3">
      <c r="A1061" s="2"/>
      <c r="B1061" s="2"/>
    </row>
    <row r="1062" spans="1:2" x14ac:dyDescent="0.3">
      <c r="A1062" s="2"/>
      <c r="B1062" s="2"/>
    </row>
    <row r="1063" spans="1:2" x14ac:dyDescent="0.3">
      <c r="A1063" s="2"/>
      <c r="B1063" s="2"/>
    </row>
    <row r="1064" spans="1:2" x14ac:dyDescent="0.3">
      <c r="A1064" s="2"/>
      <c r="B1064" s="2"/>
    </row>
    <row r="1065" spans="1:2" x14ac:dyDescent="0.3">
      <c r="A1065" s="2"/>
      <c r="B1065" s="2"/>
    </row>
    <row r="1066" spans="1:2" x14ac:dyDescent="0.3">
      <c r="A1066" s="2"/>
      <c r="B1066" s="2"/>
    </row>
    <row r="1067" spans="1:2" x14ac:dyDescent="0.3">
      <c r="A1067" s="2"/>
      <c r="B1067" s="2"/>
    </row>
    <row r="1068" spans="1:2" x14ac:dyDescent="0.3">
      <c r="A1068" s="2"/>
      <c r="B1068" s="2"/>
    </row>
    <row r="1069" spans="1:2" x14ac:dyDescent="0.3">
      <c r="A1069" s="2"/>
      <c r="B1069" s="2"/>
    </row>
    <row r="1070" spans="1:2" x14ac:dyDescent="0.3">
      <c r="A1070" s="2"/>
      <c r="B1070" s="2"/>
    </row>
    <row r="1071" spans="1:2" x14ac:dyDescent="0.3">
      <c r="A1071" s="2"/>
      <c r="B1071" s="2"/>
    </row>
    <row r="1072" spans="1:2" x14ac:dyDescent="0.3">
      <c r="A1072" s="2"/>
      <c r="B1072" s="2"/>
    </row>
    <row r="1073" spans="1:2" x14ac:dyDescent="0.3">
      <c r="A1073" s="2"/>
      <c r="B1073" s="2"/>
    </row>
    <row r="1074" spans="1:2" x14ac:dyDescent="0.3">
      <c r="A1074" s="2"/>
      <c r="B1074" s="2"/>
    </row>
    <row r="1075" spans="1:2" x14ac:dyDescent="0.3">
      <c r="A1075" s="2"/>
      <c r="B1075" s="2"/>
    </row>
    <row r="1076" spans="1:2" x14ac:dyDescent="0.3">
      <c r="A1076" s="2"/>
      <c r="B1076" s="2"/>
    </row>
    <row r="1077" spans="1:2" x14ac:dyDescent="0.3">
      <c r="A1077" s="2"/>
      <c r="B1077" s="2"/>
    </row>
    <row r="1078" spans="1:2" x14ac:dyDescent="0.3">
      <c r="A1078" s="2"/>
      <c r="B1078" s="2"/>
    </row>
    <row r="1079" spans="1:2" x14ac:dyDescent="0.3">
      <c r="A1079" s="2"/>
      <c r="B1079" s="2"/>
    </row>
    <row r="1080" spans="1:2" x14ac:dyDescent="0.3">
      <c r="A1080" s="2"/>
      <c r="B1080" s="2"/>
    </row>
    <row r="1081" spans="1:2" x14ac:dyDescent="0.3">
      <c r="A1081" s="2"/>
      <c r="B1081" s="2"/>
    </row>
    <row r="1082" spans="1:2" x14ac:dyDescent="0.3">
      <c r="A1082" s="2"/>
      <c r="B1082" s="2"/>
    </row>
    <row r="1083" spans="1:2" x14ac:dyDescent="0.3">
      <c r="A1083" s="2"/>
      <c r="B1083" s="2"/>
    </row>
    <row r="1084" spans="1:2" x14ac:dyDescent="0.3">
      <c r="A1084" s="2"/>
      <c r="B1084" s="2"/>
    </row>
    <row r="1085" spans="1:2" x14ac:dyDescent="0.3">
      <c r="A1085" s="2"/>
      <c r="B1085" s="2"/>
    </row>
    <row r="1086" spans="1:2" x14ac:dyDescent="0.3">
      <c r="A1086" s="2"/>
      <c r="B1086" s="2"/>
    </row>
    <row r="1087" spans="1:2" x14ac:dyDescent="0.3">
      <c r="A1087" s="2"/>
      <c r="B1087" s="2"/>
    </row>
    <row r="1088" spans="1:2" x14ac:dyDescent="0.3">
      <c r="A1088" s="2"/>
      <c r="B1088" s="2"/>
    </row>
    <row r="1089" spans="1:2" x14ac:dyDescent="0.3">
      <c r="A1089" s="2"/>
      <c r="B1089" s="2"/>
    </row>
    <row r="1090" spans="1:2" x14ac:dyDescent="0.3">
      <c r="A1090" s="2"/>
      <c r="B1090" s="2"/>
    </row>
    <row r="1091" spans="1:2" x14ac:dyDescent="0.3">
      <c r="A1091" s="2"/>
      <c r="B1091" s="2"/>
    </row>
    <row r="1092" spans="1:2" x14ac:dyDescent="0.3">
      <c r="A1092" s="2"/>
      <c r="B1092" s="2"/>
    </row>
    <row r="1093" spans="1:2" x14ac:dyDescent="0.3">
      <c r="A1093" s="2"/>
      <c r="B1093" s="2"/>
    </row>
    <row r="1094" spans="1:2" x14ac:dyDescent="0.3">
      <c r="A1094" s="2"/>
      <c r="B1094" s="2"/>
    </row>
    <row r="1095" spans="1:2" x14ac:dyDescent="0.3">
      <c r="A1095" s="2"/>
      <c r="B1095" s="2"/>
    </row>
    <row r="1096" spans="1:2" x14ac:dyDescent="0.3">
      <c r="A1096" s="2"/>
      <c r="B1096" s="2"/>
    </row>
    <row r="1097" spans="1:2" x14ac:dyDescent="0.3">
      <c r="A1097" s="2"/>
      <c r="B1097" s="2"/>
    </row>
    <row r="1098" spans="1:2" x14ac:dyDescent="0.3">
      <c r="A1098" s="2"/>
      <c r="B1098" s="2"/>
    </row>
    <row r="1099" spans="1:2" x14ac:dyDescent="0.3">
      <c r="A1099" s="2"/>
      <c r="B1099" s="2"/>
    </row>
    <row r="1100" spans="1:2" x14ac:dyDescent="0.3">
      <c r="A1100" s="2"/>
      <c r="B1100" s="2"/>
    </row>
    <row r="1101" spans="1:2" x14ac:dyDescent="0.3">
      <c r="A1101" s="2"/>
      <c r="B1101" s="2"/>
    </row>
    <row r="1102" spans="1:2" x14ac:dyDescent="0.3">
      <c r="A1102" s="2"/>
      <c r="B1102" s="2"/>
    </row>
    <row r="1103" spans="1:2" x14ac:dyDescent="0.3">
      <c r="A1103" s="2"/>
      <c r="B1103" s="2"/>
    </row>
    <row r="1104" spans="1:2" x14ac:dyDescent="0.3">
      <c r="A1104" s="2"/>
      <c r="B1104" s="2"/>
    </row>
    <row r="1105" spans="1:2" x14ac:dyDescent="0.3">
      <c r="A1105" s="2"/>
      <c r="B1105" s="2"/>
    </row>
    <row r="1106" spans="1:2" x14ac:dyDescent="0.3">
      <c r="A1106" s="2"/>
      <c r="B1106" s="2"/>
    </row>
    <row r="1107" spans="1:2" x14ac:dyDescent="0.3">
      <c r="A1107" s="2"/>
      <c r="B1107" s="2"/>
    </row>
    <row r="1108" spans="1:2" x14ac:dyDescent="0.3">
      <c r="A1108" s="2"/>
      <c r="B1108" s="2"/>
    </row>
    <row r="1109" spans="1:2" x14ac:dyDescent="0.3">
      <c r="A1109" s="2"/>
      <c r="B1109" s="2"/>
    </row>
    <row r="1110" spans="1:2" x14ac:dyDescent="0.3">
      <c r="A1110" s="2"/>
      <c r="B1110" s="2"/>
    </row>
    <row r="1111" spans="1:2" x14ac:dyDescent="0.3">
      <c r="A1111" s="2"/>
      <c r="B1111" s="2"/>
    </row>
    <row r="1112" spans="1:2" x14ac:dyDescent="0.3">
      <c r="A1112" s="2"/>
      <c r="B1112" s="2"/>
    </row>
    <row r="1113" spans="1:2" x14ac:dyDescent="0.3">
      <c r="A1113" s="2"/>
      <c r="B1113" s="2"/>
    </row>
    <row r="1114" spans="1:2" x14ac:dyDescent="0.3">
      <c r="A1114" s="2"/>
      <c r="B1114" s="2"/>
    </row>
    <row r="1115" spans="1:2" x14ac:dyDescent="0.3">
      <c r="A1115" s="2"/>
      <c r="B1115" s="2"/>
    </row>
    <row r="1116" spans="1:2" x14ac:dyDescent="0.3">
      <c r="A1116" s="2"/>
      <c r="B1116" s="2"/>
    </row>
    <row r="1117" spans="1:2" x14ac:dyDescent="0.3">
      <c r="A1117" s="2"/>
      <c r="B1117" s="2"/>
    </row>
    <row r="1118" spans="1:2" x14ac:dyDescent="0.3">
      <c r="A1118" s="2"/>
      <c r="B1118" s="2"/>
    </row>
    <row r="1119" spans="1:2" x14ac:dyDescent="0.3">
      <c r="A1119" s="2"/>
      <c r="B1119" s="2"/>
    </row>
    <row r="1120" spans="1:2" x14ac:dyDescent="0.3">
      <c r="A1120" s="2"/>
      <c r="B1120" s="2"/>
    </row>
    <row r="1121" spans="1:2" x14ac:dyDescent="0.3">
      <c r="A1121" s="2"/>
      <c r="B1121" s="2"/>
    </row>
    <row r="1122" spans="1:2" x14ac:dyDescent="0.3">
      <c r="A1122" s="2"/>
      <c r="B1122" s="2"/>
    </row>
    <row r="1123" spans="1:2" x14ac:dyDescent="0.3">
      <c r="A1123" s="2"/>
      <c r="B1123" s="2"/>
    </row>
    <row r="1124" spans="1:2" x14ac:dyDescent="0.3">
      <c r="A1124" s="2"/>
      <c r="B1124" s="2"/>
    </row>
    <row r="1125" spans="1:2" x14ac:dyDescent="0.3">
      <c r="A1125" s="2"/>
      <c r="B1125" s="2"/>
    </row>
    <row r="1126" spans="1:2" x14ac:dyDescent="0.3">
      <c r="A1126" s="2"/>
      <c r="B1126" s="2"/>
    </row>
    <row r="1127" spans="1:2" x14ac:dyDescent="0.3">
      <c r="A1127" s="2"/>
      <c r="B1127" s="2"/>
    </row>
    <row r="1128" spans="1:2" x14ac:dyDescent="0.3">
      <c r="A1128" s="2"/>
      <c r="B1128" s="2"/>
    </row>
    <row r="1129" spans="1:2" x14ac:dyDescent="0.3">
      <c r="A1129" s="2"/>
      <c r="B1129" s="2"/>
    </row>
    <row r="1130" spans="1:2" x14ac:dyDescent="0.3">
      <c r="A1130" s="2"/>
      <c r="B1130" s="2"/>
    </row>
    <row r="1131" spans="1:2" x14ac:dyDescent="0.3">
      <c r="A1131" s="2"/>
      <c r="B1131" s="2"/>
    </row>
    <row r="1132" spans="1:2" x14ac:dyDescent="0.3">
      <c r="A1132" s="2"/>
      <c r="B1132" s="2"/>
    </row>
    <row r="1133" spans="1:2" x14ac:dyDescent="0.3">
      <c r="A1133" s="2"/>
      <c r="B1133" s="2"/>
    </row>
    <row r="1134" spans="1:2" x14ac:dyDescent="0.3">
      <c r="A1134" s="2"/>
      <c r="B1134" s="2"/>
    </row>
    <row r="1135" spans="1:2" x14ac:dyDescent="0.3">
      <c r="A1135" s="2"/>
      <c r="B1135" s="2"/>
    </row>
    <row r="1136" spans="1:2" x14ac:dyDescent="0.3">
      <c r="A1136" s="2"/>
      <c r="B1136" s="2"/>
    </row>
    <row r="1137" spans="1:2" x14ac:dyDescent="0.3">
      <c r="A1137" s="2"/>
      <c r="B1137" s="2"/>
    </row>
    <row r="1138" spans="1:2" x14ac:dyDescent="0.3">
      <c r="A1138" s="2"/>
      <c r="B1138" s="2"/>
    </row>
    <row r="1139" spans="1:2" x14ac:dyDescent="0.3">
      <c r="A1139" s="2"/>
      <c r="B1139" s="2"/>
    </row>
    <row r="1140" spans="1:2" x14ac:dyDescent="0.3">
      <c r="A1140" s="2"/>
      <c r="B1140" s="2"/>
    </row>
    <row r="1141" spans="1:2" x14ac:dyDescent="0.3">
      <c r="A1141" s="2"/>
      <c r="B1141" s="2"/>
    </row>
    <row r="1142" spans="1:2" x14ac:dyDescent="0.3">
      <c r="A1142" s="2"/>
      <c r="B1142" s="2"/>
    </row>
    <row r="1143" spans="1:2" x14ac:dyDescent="0.3">
      <c r="A1143" s="2"/>
      <c r="B1143" s="2"/>
    </row>
    <row r="1144" spans="1:2" x14ac:dyDescent="0.3">
      <c r="A1144" s="2"/>
      <c r="B1144" s="2"/>
    </row>
    <row r="1145" spans="1:2" x14ac:dyDescent="0.3">
      <c r="A1145" s="2"/>
      <c r="B1145" s="2"/>
    </row>
    <row r="1146" spans="1:2" x14ac:dyDescent="0.3">
      <c r="A1146" s="2"/>
      <c r="B1146" s="2"/>
    </row>
    <row r="1147" spans="1:2" x14ac:dyDescent="0.3">
      <c r="A1147" s="2"/>
      <c r="B1147" s="2"/>
    </row>
    <row r="1148" spans="1:2" x14ac:dyDescent="0.3">
      <c r="A1148" s="2"/>
      <c r="B1148" s="2"/>
    </row>
    <row r="1149" spans="1:2" x14ac:dyDescent="0.3">
      <c r="A1149" s="2"/>
      <c r="B1149" s="2"/>
    </row>
    <row r="1150" spans="1:2" x14ac:dyDescent="0.3">
      <c r="A1150" s="2"/>
      <c r="B1150" s="2"/>
    </row>
    <row r="1151" spans="1:2" x14ac:dyDescent="0.3">
      <c r="A1151" s="2"/>
      <c r="B1151" s="2"/>
    </row>
    <row r="1152" spans="1:2" x14ac:dyDescent="0.3">
      <c r="A1152" s="2"/>
      <c r="B1152" s="2"/>
    </row>
    <row r="1153" spans="1:2" x14ac:dyDescent="0.3">
      <c r="A1153" s="2"/>
      <c r="B1153" s="2"/>
    </row>
    <row r="1154" spans="1:2" x14ac:dyDescent="0.3">
      <c r="A1154" s="2"/>
      <c r="B1154" s="2"/>
    </row>
    <row r="1155" spans="1:2" x14ac:dyDescent="0.3">
      <c r="A1155" s="2"/>
      <c r="B1155" s="2"/>
    </row>
    <row r="1156" spans="1:2" x14ac:dyDescent="0.3">
      <c r="A1156" s="2"/>
      <c r="B1156" s="2"/>
    </row>
    <row r="1157" spans="1:2" x14ac:dyDescent="0.3">
      <c r="A1157" s="2"/>
      <c r="B1157" s="2"/>
    </row>
    <row r="1158" spans="1:2" x14ac:dyDescent="0.3">
      <c r="A1158" s="2"/>
      <c r="B1158" s="2"/>
    </row>
    <row r="1159" spans="1:2" x14ac:dyDescent="0.3">
      <c r="A1159" s="2"/>
      <c r="B1159" s="2"/>
    </row>
    <row r="1160" spans="1:2" x14ac:dyDescent="0.3">
      <c r="A1160" s="2"/>
      <c r="B1160" s="2"/>
    </row>
    <row r="1161" spans="1:2" x14ac:dyDescent="0.3">
      <c r="A1161" s="2"/>
      <c r="B1161" s="2"/>
    </row>
    <row r="1162" spans="1:2" x14ac:dyDescent="0.3">
      <c r="A1162" s="2"/>
      <c r="B1162" s="2"/>
    </row>
    <row r="1163" spans="1:2" x14ac:dyDescent="0.3">
      <c r="A1163" s="2"/>
      <c r="B1163" s="2"/>
    </row>
    <row r="1164" spans="1:2" x14ac:dyDescent="0.3">
      <c r="A1164" s="2"/>
      <c r="B1164" s="2"/>
    </row>
    <row r="1165" spans="1:2" x14ac:dyDescent="0.3">
      <c r="A1165" s="2"/>
      <c r="B1165" s="2"/>
    </row>
    <row r="1166" spans="1:2" x14ac:dyDescent="0.3">
      <c r="A1166" s="2"/>
      <c r="B1166" s="2"/>
    </row>
    <row r="1167" spans="1:2" x14ac:dyDescent="0.3">
      <c r="A1167" s="2"/>
      <c r="B1167" s="2"/>
    </row>
    <row r="1168" spans="1:2" x14ac:dyDescent="0.3">
      <c r="A1168" s="2"/>
      <c r="B1168" s="2"/>
    </row>
    <row r="1169" spans="1:2" x14ac:dyDescent="0.3">
      <c r="A1169" s="2"/>
      <c r="B1169" s="2"/>
    </row>
    <row r="1170" spans="1:2" x14ac:dyDescent="0.3">
      <c r="A1170" s="2"/>
      <c r="B1170" s="2"/>
    </row>
    <row r="1171" spans="1:2" x14ac:dyDescent="0.3">
      <c r="A1171" s="2"/>
      <c r="B1171" s="2"/>
    </row>
    <row r="1172" spans="1:2" x14ac:dyDescent="0.3">
      <c r="A1172" s="2"/>
      <c r="B1172" s="2"/>
    </row>
    <row r="1173" spans="1:2" x14ac:dyDescent="0.3">
      <c r="A1173" s="2"/>
      <c r="B1173" s="2"/>
    </row>
    <row r="1174" spans="1:2" x14ac:dyDescent="0.3">
      <c r="A1174" s="2"/>
      <c r="B1174" s="2"/>
    </row>
    <row r="1175" spans="1:2" x14ac:dyDescent="0.3">
      <c r="A1175" s="2"/>
      <c r="B1175" s="2"/>
    </row>
    <row r="1176" spans="1:2" x14ac:dyDescent="0.3">
      <c r="A1176" s="2"/>
      <c r="B1176" s="2"/>
    </row>
    <row r="1177" spans="1:2" x14ac:dyDescent="0.3">
      <c r="A1177" s="2"/>
      <c r="B1177" s="2"/>
    </row>
    <row r="1178" spans="1:2" x14ac:dyDescent="0.3">
      <c r="A1178" s="2"/>
      <c r="B1178" s="2"/>
    </row>
    <row r="1179" spans="1:2" x14ac:dyDescent="0.3">
      <c r="A1179" s="2"/>
      <c r="B1179" s="2"/>
    </row>
    <row r="1180" spans="1:2" x14ac:dyDescent="0.3">
      <c r="A1180" s="2"/>
      <c r="B1180" s="2"/>
    </row>
    <row r="1181" spans="1:2" x14ac:dyDescent="0.3">
      <c r="A1181" s="2"/>
      <c r="B1181" s="2"/>
    </row>
    <row r="1182" spans="1:2" x14ac:dyDescent="0.3">
      <c r="A1182" s="2"/>
      <c r="B1182" s="2"/>
    </row>
    <row r="1183" spans="1:2" x14ac:dyDescent="0.3">
      <c r="A1183" s="2"/>
      <c r="B1183" s="2"/>
    </row>
    <row r="1184" spans="1:2" x14ac:dyDescent="0.3">
      <c r="A1184" s="2"/>
      <c r="B1184" s="2"/>
    </row>
    <row r="1185" spans="1:2" x14ac:dyDescent="0.3">
      <c r="A1185" s="2"/>
      <c r="B1185" s="2"/>
    </row>
    <row r="1186" spans="1:2" x14ac:dyDescent="0.3">
      <c r="A1186" s="2"/>
      <c r="B1186" s="2"/>
    </row>
    <row r="1187" spans="1:2" x14ac:dyDescent="0.3">
      <c r="A1187" s="2"/>
      <c r="B1187" s="2"/>
    </row>
    <row r="1188" spans="1:2" x14ac:dyDescent="0.3">
      <c r="A1188" s="2"/>
      <c r="B1188" s="2"/>
    </row>
    <row r="1189" spans="1:2" x14ac:dyDescent="0.3">
      <c r="A1189" s="2"/>
      <c r="B1189" s="2"/>
    </row>
    <row r="1190" spans="1:2" x14ac:dyDescent="0.3">
      <c r="A1190" s="2"/>
      <c r="B1190" s="2"/>
    </row>
    <row r="1191" spans="1:2" x14ac:dyDescent="0.3">
      <c r="A1191" s="2"/>
      <c r="B1191" s="2"/>
    </row>
    <row r="1192" spans="1:2" x14ac:dyDescent="0.3">
      <c r="A1192" s="2"/>
      <c r="B1192" s="2"/>
    </row>
    <row r="1193" spans="1:2" x14ac:dyDescent="0.3">
      <c r="A1193" s="2"/>
      <c r="B1193" s="2"/>
    </row>
    <row r="1194" spans="1:2" x14ac:dyDescent="0.3">
      <c r="A1194" s="2"/>
      <c r="B1194" s="2"/>
    </row>
    <row r="1195" spans="1:2" x14ac:dyDescent="0.3">
      <c r="A1195" s="2"/>
      <c r="B1195" s="2"/>
    </row>
    <row r="1196" spans="1:2" x14ac:dyDescent="0.3">
      <c r="A1196" s="2"/>
      <c r="B1196" s="2"/>
    </row>
    <row r="1197" spans="1:2" x14ac:dyDescent="0.3">
      <c r="A1197" s="2"/>
      <c r="B1197" s="2"/>
    </row>
    <row r="1198" spans="1:2" x14ac:dyDescent="0.3">
      <c r="A1198" s="2"/>
      <c r="B1198" s="2"/>
    </row>
    <row r="1199" spans="1:2" x14ac:dyDescent="0.3">
      <c r="A1199" s="2"/>
      <c r="B1199" s="2"/>
    </row>
    <row r="1200" spans="1:2" x14ac:dyDescent="0.3">
      <c r="A1200" s="2"/>
      <c r="B1200" s="2"/>
    </row>
    <row r="1201" spans="1:2" x14ac:dyDescent="0.3">
      <c r="A1201" s="2"/>
      <c r="B1201" s="2"/>
    </row>
    <row r="1202" spans="1:2" x14ac:dyDescent="0.3">
      <c r="A1202" s="2"/>
      <c r="B1202" s="2"/>
    </row>
    <row r="1203" spans="1:2" x14ac:dyDescent="0.3">
      <c r="A1203" s="2"/>
      <c r="B1203" s="2"/>
    </row>
    <row r="1204" spans="1:2" x14ac:dyDescent="0.3">
      <c r="A1204" s="2"/>
      <c r="B1204" s="2"/>
    </row>
    <row r="1205" spans="1:2" x14ac:dyDescent="0.3">
      <c r="A1205" s="2"/>
      <c r="B1205" s="2"/>
    </row>
    <row r="1206" spans="1:2" x14ac:dyDescent="0.3">
      <c r="A1206" s="2"/>
      <c r="B1206" s="2"/>
    </row>
    <row r="1207" spans="1:2" x14ac:dyDescent="0.3">
      <c r="A1207" s="2"/>
      <c r="B1207" s="2"/>
    </row>
    <row r="1208" spans="1:2" x14ac:dyDescent="0.3">
      <c r="A1208" s="2"/>
      <c r="B1208" s="2"/>
    </row>
    <row r="1209" spans="1:2" x14ac:dyDescent="0.3">
      <c r="A1209" s="2"/>
      <c r="B1209" s="2"/>
    </row>
    <row r="1210" spans="1:2" x14ac:dyDescent="0.3">
      <c r="A1210" s="2"/>
      <c r="B1210" s="2"/>
    </row>
    <row r="1211" spans="1:2" x14ac:dyDescent="0.3">
      <c r="A1211" s="2"/>
      <c r="B1211" s="2"/>
    </row>
    <row r="1212" spans="1:2" x14ac:dyDescent="0.3">
      <c r="A1212" s="2"/>
      <c r="B1212" s="2"/>
    </row>
    <row r="1213" spans="1:2" x14ac:dyDescent="0.3">
      <c r="A1213" s="2"/>
      <c r="B1213" s="2"/>
    </row>
    <row r="1214" spans="1:2" x14ac:dyDescent="0.3">
      <c r="A1214" s="2"/>
      <c r="B1214" s="2"/>
    </row>
    <row r="1215" spans="1:2" x14ac:dyDescent="0.3">
      <c r="A1215" s="2"/>
      <c r="B1215" s="2"/>
    </row>
    <row r="1216" spans="1:2" x14ac:dyDescent="0.3">
      <c r="A1216" s="2"/>
      <c r="B1216" s="2"/>
    </row>
    <row r="1217" spans="1:2" x14ac:dyDescent="0.3">
      <c r="A1217" s="2"/>
      <c r="B1217" s="2"/>
    </row>
    <row r="1218" spans="1:2" x14ac:dyDescent="0.3">
      <c r="A1218" s="2"/>
      <c r="B1218" s="2"/>
    </row>
    <row r="1219" spans="1:2" x14ac:dyDescent="0.3">
      <c r="A1219" s="2"/>
      <c r="B1219" s="2"/>
    </row>
    <row r="1220" spans="1:2" x14ac:dyDescent="0.3">
      <c r="A1220" s="2"/>
      <c r="B1220" s="2"/>
    </row>
    <row r="1221" spans="1:2" x14ac:dyDescent="0.3">
      <c r="A1221" s="2"/>
      <c r="B1221" s="2"/>
    </row>
    <row r="1222" spans="1:2" x14ac:dyDescent="0.3">
      <c r="A1222" s="2"/>
      <c r="B1222" s="2"/>
    </row>
    <row r="1223" spans="1:2" x14ac:dyDescent="0.3">
      <c r="A1223" s="2"/>
      <c r="B1223" s="2"/>
    </row>
    <row r="1224" spans="1:2" x14ac:dyDescent="0.3">
      <c r="A1224" s="2"/>
      <c r="B1224" s="2"/>
    </row>
    <row r="1225" spans="1:2" x14ac:dyDescent="0.3">
      <c r="A1225" s="2"/>
      <c r="B1225" s="2"/>
    </row>
    <row r="1226" spans="1:2" x14ac:dyDescent="0.3">
      <c r="A1226" s="2"/>
      <c r="B1226" s="2"/>
    </row>
    <row r="1227" spans="1:2" x14ac:dyDescent="0.3">
      <c r="A1227" s="2"/>
      <c r="B1227" s="2"/>
    </row>
    <row r="1228" spans="1:2" x14ac:dyDescent="0.3">
      <c r="A1228" s="2"/>
      <c r="B1228" s="2"/>
    </row>
    <row r="1229" spans="1:2" x14ac:dyDescent="0.3">
      <c r="A1229" s="2"/>
      <c r="B1229" s="2"/>
    </row>
    <row r="1230" spans="1:2" x14ac:dyDescent="0.3">
      <c r="A1230" s="2"/>
      <c r="B1230" s="2"/>
    </row>
    <row r="1231" spans="1:2" x14ac:dyDescent="0.3">
      <c r="A1231" s="2"/>
      <c r="B1231" s="2"/>
    </row>
    <row r="1232" spans="1:2" x14ac:dyDescent="0.3">
      <c r="A1232" s="2"/>
      <c r="B1232" s="2"/>
    </row>
    <row r="1233" spans="1:2" x14ac:dyDescent="0.3">
      <c r="A1233" s="2"/>
      <c r="B1233" s="2"/>
    </row>
    <row r="1234" spans="1:2" x14ac:dyDescent="0.3">
      <c r="A1234" s="2"/>
      <c r="B1234" s="2"/>
    </row>
    <row r="1235" spans="1:2" x14ac:dyDescent="0.3">
      <c r="A1235" s="2"/>
      <c r="B1235" s="2"/>
    </row>
    <row r="1236" spans="1:2" x14ac:dyDescent="0.3">
      <c r="A1236" s="2"/>
      <c r="B1236" s="2"/>
    </row>
    <row r="1237" spans="1:2" x14ac:dyDescent="0.3">
      <c r="A1237" s="2"/>
      <c r="B1237" s="2"/>
    </row>
    <row r="1238" spans="1:2" x14ac:dyDescent="0.3">
      <c r="A1238" s="2"/>
      <c r="B1238" s="2"/>
    </row>
    <row r="1239" spans="1:2" x14ac:dyDescent="0.3">
      <c r="A1239" s="2"/>
      <c r="B1239" s="2"/>
    </row>
    <row r="1240" spans="1:2" x14ac:dyDescent="0.3">
      <c r="A1240" s="2"/>
      <c r="B1240" s="2"/>
    </row>
    <row r="1241" spans="1:2" x14ac:dyDescent="0.3">
      <c r="A1241" s="2"/>
      <c r="B1241" s="2"/>
    </row>
    <row r="1242" spans="1:2" x14ac:dyDescent="0.3">
      <c r="A1242" s="2"/>
      <c r="B1242" s="2"/>
    </row>
    <row r="1243" spans="1:2" x14ac:dyDescent="0.3">
      <c r="A1243" s="2"/>
      <c r="B1243" s="2"/>
    </row>
    <row r="1244" spans="1:2" x14ac:dyDescent="0.3">
      <c r="A1244" s="2"/>
      <c r="B1244" s="2"/>
    </row>
    <row r="1245" spans="1:2" x14ac:dyDescent="0.3">
      <c r="A1245" s="2"/>
      <c r="B1245" s="2"/>
    </row>
    <row r="1246" spans="1:2" x14ac:dyDescent="0.3">
      <c r="A1246" s="2"/>
      <c r="B1246" s="2"/>
    </row>
    <row r="1247" spans="1:2" x14ac:dyDescent="0.3">
      <c r="A1247" s="2"/>
      <c r="B1247" s="2"/>
    </row>
    <row r="1248" spans="1:2" x14ac:dyDescent="0.3">
      <c r="A1248" s="2"/>
      <c r="B1248" s="2"/>
    </row>
    <row r="1249" spans="1:2" x14ac:dyDescent="0.3">
      <c r="A1249" s="2"/>
      <c r="B1249" s="2"/>
    </row>
    <row r="1250" spans="1:2" x14ac:dyDescent="0.3">
      <c r="A1250" s="2"/>
      <c r="B1250" s="2"/>
    </row>
    <row r="1251" spans="1:2" x14ac:dyDescent="0.3">
      <c r="A1251" s="2"/>
      <c r="B1251" s="2"/>
    </row>
    <row r="1252" spans="1:2" x14ac:dyDescent="0.3">
      <c r="A1252" s="2"/>
      <c r="B1252" s="2"/>
    </row>
    <row r="1253" spans="1:2" x14ac:dyDescent="0.3">
      <c r="A1253" s="2"/>
      <c r="B1253" s="2"/>
    </row>
    <row r="1254" spans="1:2" x14ac:dyDescent="0.3">
      <c r="A1254" s="2"/>
      <c r="B1254" s="2"/>
    </row>
    <row r="1255" spans="1:2" x14ac:dyDescent="0.3">
      <c r="A1255" s="2"/>
      <c r="B1255" s="2"/>
    </row>
    <row r="1256" spans="1:2" x14ac:dyDescent="0.3">
      <c r="A1256" s="2"/>
      <c r="B1256" s="2"/>
    </row>
    <row r="1257" spans="1:2" x14ac:dyDescent="0.3">
      <c r="A1257" s="2"/>
      <c r="B1257" s="2"/>
    </row>
    <row r="1258" spans="1:2" x14ac:dyDescent="0.3">
      <c r="A1258" s="2"/>
      <c r="B1258" s="2"/>
    </row>
    <row r="1259" spans="1:2" x14ac:dyDescent="0.3">
      <c r="A1259" s="2"/>
      <c r="B1259" s="2"/>
    </row>
    <row r="1260" spans="1:2" x14ac:dyDescent="0.3">
      <c r="A1260" s="2"/>
      <c r="B1260" s="2"/>
    </row>
    <row r="1261" spans="1:2" x14ac:dyDescent="0.3">
      <c r="A1261" s="2"/>
      <c r="B1261" s="2"/>
    </row>
    <row r="1262" spans="1:2" x14ac:dyDescent="0.3">
      <c r="A1262" s="2"/>
      <c r="B1262" s="2"/>
    </row>
    <row r="1263" spans="1:2" x14ac:dyDescent="0.3">
      <c r="A1263" s="2"/>
      <c r="B1263" s="2"/>
    </row>
    <row r="1264" spans="1:2" x14ac:dyDescent="0.3">
      <c r="A1264" s="2"/>
      <c r="B1264" s="2"/>
    </row>
    <row r="1265" spans="1:2" x14ac:dyDescent="0.3">
      <c r="A1265" s="2"/>
      <c r="B1265" s="2"/>
    </row>
    <row r="1266" spans="1:2" x14ac:dyDescent="0.3">
      <c r="A1266" s="2"/>
      <c r="B1266" s="2"/>
    </row>
    <row r="1267" spans="1:2" x14ac:dyDescent="0.3">
      <c r="A1267" s="2"/>
      <c r="B1267" s="2"/>
    </row>
    <row r="1268" spans="1:2" x14ac:dyDescent="0.3">
      <c r="A1268" s="2"/>
      <c r="B1268" s="2"/>
    </row>
    <row r="1269" spans="1:2" x14ac:dyDescent="0.3">
      <c r="A1269" s="2"/>
      <c r="B1269" s="2"/>
    </row>
    <row r="1270" spans="1:2" x14ac:dyDescent="0.3">
      <c r="A1270" s="2"/>
      <c r="B1270" s="2"/>
    </row>
    <row r="1271" spans="1:2" x14ac:dyDescent="0.3">
      <c r="A1271" s="2"/>
      <c r="B1271" s="2"/>
    </row>
    <row r="1272" spans="1:2" x14ac:dyDescent="0.3">
      <c r="A1272" s="2"/>
      <c r="B1272" s="2"/>
    </row>
    <row r="1273" spans="1:2" x14ac:dyDescent="0.3">
      <c r="A1273" s="2"/>
      <c r="B1273" s="2"/>
    </row>
    <row r="1274" spans="1:2" x14ac:dyDescent="0.3">
      <c r="A1274" s="2"/>
      <c r="B1274" s="2"/>
    </row>
    <row r="1275" spans="1:2" x14ac:dyDescent="0.3">
      <c r="A1275" s="2"/>
      <c r="B1275" s="2"/>
    </row>
    <row r="1276" spans="1:2" x14ac:dyDescent="0.3">
      <c r="A1276" s="2"/>
      <c r="B1276" s="2"/>
    </row>
    <row r="1277" spans="1:2" x14ac:dyDescent="0.3">
      <c r="A1277" s="2"/>
      <c r="B1277" s="2"/>
    </row>
    <row r="1278" spans="1:2" x14ac:dyDescent="0.3">
      <c r="A1278" s="2"/>
      <c r="B1278" s="2"/>
    </row>
    <row r="1279" spans="1:2" x14ac:dyDescent="0.3">
      <c r="A1279" s="2"/>
      <c r="B1279" s="2"/>
    </row>
    <row r="1280" spans="1:2" x14ac:dyDescent="0.3">
      <c r="A1280" s="2"/>
      <c r="B1280" s="2"/>
    </row>
    <row r="1281" spans="1:2" x14ac:dyDescent="0.3">
      <c r="A1281" s="2"/>
      <c r="B1281" s="2"/>
    </row>
    <row r="1282" spans="1:2" x14ac:dyDescent="0.3">
      <c r="A1282" s="2"/>
      <c r="B1282" s="2"/>
    </row>
    <row r="1283" spans="1:2" x14ac:dyDescent="0.3">
      <c r="A1283" s="2"/>
      <c r="B1283" s="2"/>
    </row>
    <row r="1284" spans="1:2" x14ac:dyDescent="0.3">
      <c r="A1284" s="2"/>
      <c r="B1284" s="2"/>
    </row>
    <row r="1285" spans="1:2" x14ac:dyDescent="0.3">
      <c r="A1285" s="2"/>
      <c r="B1285" s="2"/>
    </row>
    <row r="1286" spans="1:2" x14ac:dyDescent="0.3">
      <c r="A1286" s="2"/>
      <c r="B1286" s="2"/>
    </row>
    <row r="1287" spans="1:2" x14ac:dyDescent="0.3">
      <c r="A1287" s="2"/>
      <c r="B1287" s="2"/>
    </row>
    <row r="1288" spans="1:2" x14ac:dyDescent="0.3">
      <c r="A1288" s="2"/>
      <c r="B1288" s="2"/>
    </row>
    <row r="1289" spans="1:2" x14ac:dyDescent="0.3">
      <c r="A1289" s="2"/>
      <c r="B1289" s="2"/>
    </row>
    <row r="1290" spans="1:2" x14ac:dyDescent="0.3">
      <c r="A1290" s="2"/>
      <c r="B1290" s="2"/>
    </row>
    <row r="1291" spans="1:2" x14ac:dyDescent="0.3">
      <c r="A1291" s="2"/>
      <c r="B1291" s="2"/>
    </row>
    <row r="1292" spans="1:2" x14ac:dyDescent="0.3">
      <c r="A1292" s="2"/>
      <c r="B1292" s="2"/>
    </row>
    <row r="1293" spans="1:2" x14ac:dyDescent="0.3">
      <c r="A1293" s="2"/>
      <c r="B1293" s="2"/>
    </row>
    <row r="1294" spans="1:2" x14ac:dyDescent="0.3">
      <c r="A1294" s="2"/>
      <c r="B1294" s="2"/>
    </row>
    <row r="1295" spans="1:2" x14ac:dyDescent="0.3">
      <c r="A1295" s="2"/>
      <c r="B1295" s="2"/>
    </row>
    <row r="1296" spans="1:2" x14ac:dyDescent="0.3">
      <c r="A1296" s="2"/>
      <c r="B1296" s="2"/>
    </row>
    <row r="1297" spans="1:2" x14ac:dyDescent="0.3">
      <c r="A1297" s="2"/>
      <c r="B1297" s="2"/>
    </row>
    <row r="1298" spans="1:2" x14ac:dyDescent="0.3">
      <c r="A1298" s="2"/>
      <c r="B1298" s="2"/>
    </row>
    <row r="1299" spans="1:2" x14ac:dyDescent="0.3">
      <c r="A1299" s="2"/>
      <c r="B1299" s="2"/>
    </row>
    <row r="1300" spans="1:2" x14ac:dyDescent="0.3">
      <c r="A1300" s="2"/>
      <c r="B1300" s="2"/>
    </row>
    <row r="1301" spans="1:2" x14ac:dyDescent="0.3">
      <c r="A1301" s="2"/>
      <c r="B1301" s="2"/>
    </row>
    <row r="1302" spans="1:2" x14ac:dyDescent="0.3">
      <c r="A1302" s="2"/>
      <c r="B1302" s="2"/>
    </row>
    <row r="1303" spans="1:2" x14ac:dyDescent="0.3">
      <c r="A1303" s="2"/>
      <c r="B1303" s="2"/>
    </row>
    <row r="1304" spans="1:2" x14ac:dyDescent="0.3">
      <c r="A1304" s="2"/>
      <c r="B1304" s="2"/>
    </row>
    <row r="1305" spans="1:2" x14ac:dyDescent="0.3">
      <c r="A1305" s="2"/>
      <c r="B1305" s="2"/>
    </row>
    <row r="1306" spans="1:2" x14ac:dyDescent="0.3">
      <c r="A1306" s="2"/>
      <c r="B1306" s="2"/>
    </row>
    <row r="1307" spans="1:2" x14ac:dyDescent="0.3">
      <c r="A1307" s="2"/>
      <c r="B1307" s="2"/>
    </row>
    <row r="1308" spans="1:2" x14ac:dyDescent="0.3">
      <c r="A1308" s="2"/>
      <c r="B1308" s="2"/>
    </row>
    <row r="1309" spans="1:2" x14ac:dyDescent="0.3">
      <c r="A1309" s="2"/>
      <c r="B1309" s="2"/>
    </row>
    <row r="1310" spans="1:2" x14ac:dyDescent="0.3">
      <c r="A1310" s="2"/>
      <c r="B1310" s="2"/>
    </row>
    <row r="1311" spans="1:2" x14ac:dyDescent="0.3">
      <c r="A1311" s="2"/>
      <c r="B1311" s="2"/>
    </row>
    <row r="1312" spans="1:2" x14ac:dyDescent="0.3">
      <c r="A1312" s="2"/>
      <c r="B1312" s="2"/>
    </row>
    <row r="1313" spans="1:2" x14ac:dyDescent="0.3">
      <c r="A1313" s="2"/>
      <c r="B1313" s="2"/>
    </row>
    <row r="1314" spans="1:2" x14ac:dyDescent="0.3">
      <c r="A1314" s="2"/>
      <c r="B1314" s="2"/>
    </row>
    <row r="1315" spans="1:2" x14ac:dyDescent="0.3">
      <c r="A1315" s="2"/>
      <c r="B1315" s="2"/>
    </row>
    <row r="1316" spans="1:2" x14ac:dyDescent="0.3">
      <c r="A1316" s="2"/>
      <c r="B1316" s="2"/>
    </row>
    <row r="1317" spans="1:2" x14ac:dyDescent="0.3">
      <c r="A1317" s="2"/>
      <c r="B1317" s="2"/>
    </row>
    <row r="1318" spans="1:2" x14ac:dyDescent="0.3">
      <c r="A1318" s="2"/>
      <c r="B1318" s="2"/>
    </row>
    <row r="1319" spans="1:2" x14ac:dyDescent="0.3">
      <c r="A1319" s="2"/>
      <c r="B1319" s="2"/>
    </row>
    <row r="1320" spans="1:2" x14ac:dyDescent="0.3">
      <c r="A1320" s="2"/>
      <c r="B1320" s="2"/>
    </row>
    <row r="1321" spans="1:2" x14ac:dyDescent="0.3">
      <c r="A1321" s="2"/>
      <c r="B1321" s="2"/>
    </row>
    <row r="1322" spans="1:2" x14ac:dyDescent="0.3">
      <c r="A1322" s="2"/>
      <c r="B1322" s="2"/>
    </row>
    <row r="1323" spans="1:2" x14ac:dyDescent="0.3">
      <c r="A1323" s="2"/>
      <c r="B1323" s="2"/>
    </row>
    <row r="1324" spans="1:2" x14ac:dyDescent="0.3">
      <c r="A1324" s="2"/>
      <c r="B1324" s="2"/>
    </row>
    <row r="1325" spans="1:2" x14ac:dyDescent="0.3">
      <c r="A1325" s="2"/>
      <c r="B1325" s="2"/>
    </row>
    <row r="1326" spans="1:2" x14ac:dyDescent="0.3">
      <c r="A1326" s="2"/>
      <c r="B1326" s="2"/>
    </row>
    <row r="1327" spans="1:2" x14ac:dyDescent="0.3">
      <c r="A1327" s="2"/>
      <c r="B1327" s="2"/>
    </row>
    <row r="1328" spans="1:2" x14ac:dyDescent="0.3">
      <c r="A1328" s="2"/>
      <c r="B1328" s="2"/>
    </row>
    <row r="1329" spans="1:2" x14ac:dyDescent="0.3">
      <c r="A1329" s="2"/>
      <c r="B1329" s="2"/>
    </row>
    <row r="1330" spans="1:2" x14ac:dyDescent="0.3">
      <c r="A1330" s="2"/>
      <c r="B1330" s="2"/>
    </row>
    <row r="1331" spans="1:2" x14ac:dyDescent="0.3">
      <c r="A1331" s="2"/>
      <c r="B1331" s="2"/>
    </row>
    <row r="1332" spans="1:2" x14ac:dyDescent="0.3">
      <c r="A1332" s="2"/>
      <c r="B1332" s="2"/>
    </row>
    <row r="1333" spans="1:2" x14ac:dyDescent="0.3">
      <c r="A1333" s="2"/>
      <c r="B1333" s="2"/>
    </row>
    <row r="1334" spans="1:2" x14ac:dyDescent="0.3">
      <c r="A1334" s="2"/>
      <c r="B1334" s="2"/>
    </row>
    <row r="1335" spans="1:2" x14ac:dyDescent="0.3">
      <c r="A1335" s="2"/>
      <c r="B1335" s="2"/>
    </row>
    <row r="1336" spans="1:2" x14ac:dyDescent="0.3">
      <c r="A1336" s="2"/>
      <c r="B1336" s="2"/>
    </row>
    <row r="1337" spans="1:2" x14ac:dyDescent="0.3">
      <c r="A1337" s="2"/>
      <c r="B1337" s="2"/>
    </row>
    <row r="1338" spans="1:2" x14ac:dyDescent="0.3">
      <c r="A1338" s="2"/>
      <c r="B1338" s="2"/>
    </row>
    <row r="1339" spans="1:2" x14ac:dyDescent="0.3">
      <c r="A1339" s="2"/>
      <c r="B1339" s="2"/>
    </row>
    <row r="1340" spans="1:2" x14ac:dyDescent="0.3">
      <c r="A1340" s="2"/>
      <c r="B1340" s="2"/>
    </row>
    <row r="1341" spans="1:2" x14ac:dyDescent="0.3">
      <c r="A1341" s="2"/>
      <c r="B1341" s="2"/>
    </row>
    <row r="1342" spans="1:2" x14ac:dyDescent="0.3">
      <c r="A1342" s="2"/>
      <c r="B1342" s="2"/>
    </row>
    <row r="1343" spans="1:2" x14ac:dyDescent="0.3">
      <c r="A1343" s="2"/>
      <c r="B1343" s="2"/>
    </row>
    <row r="1344" spans="1:2" x14ac:dyDescent="0.3">
      <c r="A1344" s="2"/>
      <c r="B1344" s="2"/>
    </row>
    <row r="1345" spans="1:2" x14ac:dyDescent="0.3">
      <c r="A1345" s="2"/>
      <c r="B1345" s="2"/>
    </row>
    <row r="1346" spans="1:2" x14ac:dyDescent="0.3">
      <c r="A1346" s="2"/>
      <c r="B1346" s="2"/>
    </row>
    <row r="1347" spans="1:2" x14ac:dyDescent="0.3">
      <c r="A1347" s="2"/>
      <c r="B1347" s="2"/>
    </row>
    <row r="1348" spans="1:2" x14ac:dyDescent="0.3">
      <c r="A1348" s="2"/>
      <c r="B1348" s="2"/>
    </row>
    <row r="1349" spans="1:2" x14ac:dyDescent="0.3">
      <c r="A1349" s="2"/>
      <c r="B1349" s="2"/>
    </row>
    <row r="1350" spans="1:2" x14ac:dyDescent="0.3">
      <c r="A1350" s="2"/>
      <c r="B1350" s="2"/>
    </row>
    <row r="1351" spans="1:2" x14ac:dyDescent="0.3">
      <c r="A1351" s="2"/>
      <c r="B1351" s="2"/>
    </row>
    <row r="1352" spans="1:2" x14ac:dyDescent="0.3">
      <c r="A1352" s="2"/>
      <c r="B1352" s="2"/>
    </row>
    <row r="1353" spans="1:2" x14ac:dyDescent="0.3">
      <c r="A1353" s="2"/>
      <c r="B1353" s="2"/>
    </row>
    <row r="1354" spans="1:2" x14ac:dyDescent="0.3">
      <c r="A1354" s="2"/>
      <c r="B1354" s="2"/>
    </row>
    <row r="1355" spans="1:2" x14ac:dyDescent="0.3">
      <c r="A1355" s="2"/>
      <c r="B1355" s="2"/>
    </row>
    <row r="1356" spans="1:2" x14ac:dyDescent="0.3">
      <c r="A1356" s="2"/>
      <c r="B1356" s="2"/>
    </row>
    <row r="1357" spans="1:2" x14ac:dyDescent="0.3">
      <c r="A1357" s="2"/>
      <c r="B1357" s="2"/>
    </row>
    <row r="1358" spans="1:2" x14ac:dyDescent="0.3">
      <c r="A1358" s="2"/>
      <c r="B1358" s="2"/>
    </row>
    <row r="1359" spans="1:2" x14ac:dyDescent="0.3">
      <c r="A1359" s="2"/>
      <c r="B1359" s="2"/>
    </row>
    <row r="1360" spans="1:2" x14ac:dyDescent="0.3">
      <c r="A1360" s="2"/>
      <c r="B1360" s="2"/>
    </row>
    <row r="1361" spans="1:2" x14ac:dyDescent="0.3">
      <c r="A1361" s="2"/>
      <c r="B1361" s="2"/>
    </row>
    <row r="1362" spans="1:2" x14ac:dyDescent="0.3">
      <c r="A1362" s="2"/>
      <c r="B1362" s="2"/>
    </row>
    <row r="1363" spans="1:2" x14ac:dyDescent="0.3">
      <c r="A1363" s="2"/>
      <c r="B1363" s="2"/>
    </row>
    <row r="1364" spans="1:2" x14ac:dyDescent="0.3">
      <c r="A1364" s="2"/>
      <c r="B1364" s="2"/>
    </row>
    <row r="1365" spans="1:2" x14ac:dyDescent="0.3">
      <c r="A1365" s="2"/>
      <c r="B1365" s="2"/>
    </row>
    <row r="1366" spans="1:2" x14ac:dyDescent="0.3">
      <c r="A1366" s="2"/>
      <c r="B1366" s="2"/>
    </row>
    <row r="1367" spans="1:2" x14ac:dyDescent="0.3">
      <c r="A1367" s="2"/>
      <c r="B1367" s="2"/>
    </row>
    <row r="1368" spans="1:2" x14ac:dyDescent="0.3">
      <c r="A1368" s="2"/>
      <c r="B1368" s="2"/>
    </row>
    <row r="1369" spans="1:2" x14ac:dyDescent="0.3">
      <c r="A1369" s="2"/>
      <c r="B1369" s="2"/>
    </row>
    <row r="1370" spans="1:2" x14ac:dyDescent="0.3">
      <c r="A1370" s="2"/>
      <c r="B1370" s="2"/>
    </row>
    <row r="1371" spans="1:2" x14ac:dyDescent="0.3">
      <c r="A1371" s="2"/>
      <c r="B1371" s="2"/>
    </row>
    <row r="1372" spans="1:2" x14ac:dyDescent="0.3">
      <c r="A1372" s="2"/>
      <c r="B1372" s="2"/>
    </row>
    <row r="1373" spans="1:2" x14ac:dyDescent="0.3">
      <c r="A1373" s="2"/>
      <c r="B1373" s="2"/>
    </row>
    <row r="1374" spans="1:2" x14ac:dyDescent="0.3">
      <c r="A1374" s="2"/>
      <c r="B1374" s="2"/>
    </row>
    <row r="1375" spans="1:2" x14ac:dyDescent="0.3">
      <c r="A1375" s="2"/>
      <c r="B1375" s="2"/>
    </row>
    <row r="1376" spans="1:2" x14ac:dyDescent="0.3">
      <c r="A1376" s="2"/>
      <c r="B1376" s="2"/>
    </row>
    <row r="1377" spans="1:2" x14ac:dyDescent="0.3">
      <c r="A1377" s="2"/>
      <c r="B1377" s="2"/>
    </row>
    <row r="1378" spans="1:2" x14ac:dyDescent="0.3">
      <c r="A1378" s="2"/>
      <c r="B1378" s="2"/>
    </row>
    <row r="1379" spans="1:2" x14ac:dyDescent="0.3">
      <c r="A1379" s="2"/>
      <c r="B1379" s="2"/>
    </row>
    <row r="1380" spans="1:2" x14ac:dyDescent="0.3">
      <c r="A1380" s="2"/>
      <c r="B1380" s="2"/>
    </row>
    <row r="1381" spans="1:2" x14ac:dyDescent="0.3">
      <c r="A1381" s="2"/>
      <c r="B1381" s="2"/>
    </row>
    <row r="1382" spans="1:2" x14ac:dyDescent="0.3">
      <c r="A1382" s="2"/>
      <c r="B1382" s="2"/>
    </row>
    <row r="1383" spans="1:2" x14ac:dyDescent="0.3">
      <c r="A1383" s="2"/>
      <c r="B1383" s="2"/>
    </row>
    <row r="1384" spans="1:2" x14ac:dyDescent="0.3">
      <c r="A1384" s="2"/>
      <c r="B1384" s="2"/>
    </row>
    <row r="1385" spans="1:2" x14ac:dyDescent="0.3">
      <c r="A1385" s="2"/>
      <c r="B1385" s="2"/>
    </row>
    <row r="1386" spans="1:2" x14ac:dyDescent="0.3">
      <c r="A1386" s="2"/>
      <c r="B1386" s="2"/>
    </row>
    <row r="1387" spans="1:2" x14ac:dyDescent="0.3">
      <c r="A1387" s="2"/>
      <c r="B1387" s="2"/>
    </row>
    <row r="1388" spans="1:2" x14ac:dyDescent="0.3">
      <c r="A1388" s="2"/>
      <c r="B1388" s="2"/>
    </row>
    <row r="1389" spans="1:2" x14ac:dyDescent="0.3">
      <c r="A1389" s="2"/>
      <c r="B1389" s="2"/>
    </row>
    <row r="1390" spans="1:2" x14ac:dyDescent="0.3">
      <c r="A1390" s="2"/>
      <c r="B1390" s="2"/>
    </row>
    <row r="1391" spans="1:2" x14ac:dyDescent="0.3">
      <c r="A1391" s="2"/>
      <c r="B1391" s="2"/>
    </row>
    <row r="1392" spans="1:2" x14ac:dyDescent="0.3">
      <c r="A1392" s="2"/>
      <c r="B1392" s="2"/>
    </row>
    <row r="1393" spans="1:2" x14ac:dyDescent="0.3">
      <c r="A1393" s="2"/>
      <c r="B1393" s="2"/>
    </row>
    <row r="1394" spans="1:2" x14ac:dyDescent="0.3">
      <c r="A1394" s="2"/>
      <c r="B1394" s="2"/>
    </row>
    <row r="1395" spans="1:2" x14ac:dyDescent="0.3">
      <c r="A1395" s="2"/>
      <c r="B1395" s="2"/>
    </row>
    <row r="1396" spans="1:2" x14ac:dyDescent="0.3">
      <c r="A1396" s="2"/>
      <c r="B1396" s="2"/>
    </row>
    <row r="1397" spans="1:2" x14ac:dyDescent="0.3">
      <c r="A1397" s="2"/>
      <c r="B1397" s="2"/>
    </row>
    <row r="1398" spans="1:2" x14ac:dyDescent="0.3">
      <c r="A1398" s="2"/>
      <c r="B1398" s="2"/>
    </row>
    <row r="1399" spans="1:2" x14ac:dyDescent="0.3">
      <c r="A1399" s="2"/>
      <c r="B1399" s="2"/>
    </row>
    <row r="1400" spans="1:2" x14ac:dyDescent="0.3">
      <c r="A1400" s="2"/>
      <c r="B1400" s="2"/>
    </row>
    <row r="1401" spans="1:2" x14ac:dyDescent="0.3">
      <c r="A1401" s="2"/>
      <c r="B1401" s="2"/>
    </row>
    <row r="1402" spans="1:2" x14ac:dyDescent="0.3">
      <c r="A1402" s="2"/>
      <c r="B1402" s="2"/>
    </row>
    <row r="1403" spans="1:2" x14ac:dyDescent="0.3">
      <c r="A1403" s="2"/>
      <c r="B1403" s="2"/>
    </row>
    <row r="1404" spans="1:2" x14ac:dyDescent="0.3">
      <c r="A1404" s="2"/>
      <c r="B1404" s="2"/>
    </row>
    <row r="1405" spans="1:2" x14ac:dyDescent="0.3">
      <c r="A1405" s="2"/>
      <c r="B1405" s="2"/>
    </row>
    <row r="1406" spans="1:2" x14ac:dyDescent="0.3">
      <c r="A1406" s="2"/>
      <c r="B1406" s="2"/>
    </row>
    <row r="1407" spans="1:2" x14ac:dyDescent="0.3">
      <c r="A1407" s="2"/>
      <c r="B1407" s="2"/>
    </row>
    <row r="1408" spans="1:2" x14ac:dyDescent="0.3">
      <c r="A1408" s="2"/>
      <c r="B1408" s="2"/>
    </row>
    <row r="1409" spans="1:2" x14ac:dyDescent="0.3">
      <c r="A1409" s="2"/>
      <c r="B1409" s="2"/>
    </row>
    <row r="1410" spans="1:2" x14ac:dyDescent="0.3">
      <c r="A1410" s="2"/>
      <c r="B1410" s="2"/>
    </row>
    <row r="1411" spans="1:2" x14ac:dyDescent="0.3">
      <c r="A1411" s="2"/>
      <c r="B1411" s="2"/>
    </row>
    <row r="1412" spans="1:2" x14ac:dyDescent="0.3">
      <c r="A1412" s="2"/>
      <c r="B1412" s="2"/>
    </row>
    <row r="1413" spans="1:2" x14ac:dyDescent="0.3">
      <c r="A1413" s="2"/>
      <c r="B1413" s="2"/>
    </row>
    <row r="1414" spans="1:2" x14ac:dyDescent="0.3">
      <c r="A1414" s="2"/>
      <c r="B1414" s="2"/>
    </row>
    <row r="1415" spans="1:2" x14ac:dyDescent="0.3">
      <c r="A1415" s="2"/>
      <c r="B1415" s="2"/>
    </row>
    <row r="1416" spans="1:2" x14ac:dyDescent="0.3">
      <c r="A1416" s="2"/>
      <c r="B1416" s="2"/>
    </row>
    <row r="1417" spans="1:2" x14ac:dyDescent="0.3">
      <c r="A1417" s="2"/>
      <c r="B1417" s="2"/>
    </row>
    <row r="1418" spans="1:2" x14ac:dyDescent="0.3">
      <c r="A1418" s="2"/>
      <c r="B1418" s="2"/>
    </row>
    <row r="1419" spans="1:2" x14ac:dyDescent="0.3">
      <c r="A1419" s="2"/>
      <c r="B1419" s="2"/>
    </row>
    <row r="1420" spans="1:2" x14ac:dyDescent="0.3">
      <c r="A1420" s="2"/>
      <c r="B1420" s="2"/>
    </row>
    <row r="1421" spans="1:2" x14ac:dyDescent="0.3">
      <c r="A1421" s="2"/>
      <c r="B1421" s="2"/>
    </row>
    <row r="1422" spans="1:2" x14ac:dyDescent="0.3">
      <c r="A1422" s="2"/>
      <c r="B1422" s="2"/>
    </row>
    <row r="1423" spans="1:2" x14ac:dyDescent="0.3">
      <c r="A1423" s="2"/>
      <c r="B1423" s="2"/>
    </row>
    <row r="1424" spans="1:2" x14ac:dyDescent="0.3">
      <c r="A1424" s="2"/>
      <c r="B1424" s="2"/>
    </row>
    <row r="1425" spans="1:2" x14ac:dyDescent="0.3">
      <c r="A1425" s="2"/>
      <c r="B1425" s="2"/>
    </row>
    <row r="1426" spans="1:2" x14ac:dyDescent="0.3">
      <c r="A1426" s="2"/>
      <c r="B1426" s="2"/>
    </row>
    <row r="1427" spans="1:2" x14ac:dyDescent="0.3">
      <c r="A1427" s="2"/>
      <c r="B1427" s="2"/>
    </row>
    <row r="1428" spans="1:2" x14ac:dyDescent="0.3">
      <c r="A1428" s="2"/>
      <c r="B1428" s="2"/>
    </row>
    <row r="1429" spans="1:2" x14ac:dyDescent="0.3">
      <c r="A1429" s="2"/>
      <c r="B1429" s="2"/>
    </row>
    <row r="1430" spans="1:2" x14ac:dyDescent="0.3">
      <c r="A1430" s="2"/>
      <c r="B1430" s="2"/>
    </row>
    <row r="1431" spans="1:2" x14ac:dyDescent="0.3">
      <c r="A1431" s="2"/>
      <c r="B1431" s="2"/>
    </row>
    <row r="1432" spans="1:2" x14ac:dyDescent="0.3">
      <c r="A1432" s="2"/>
      <c r="B1432" s="2"/>
    </row>
    <row r="1433" spans="1:2" x14ac:dyDescent="0.3">
      <c r="A1433" s="2"/>
      <c r="B1433" s="2"/>
    </row>
    <row r="1434" spans="1:2" x14ac:dyDescent="0.3">
      <c r="A1434" s="2"/>
      <c r="B1434" s="2"/>
    </row>
    <row r="1435" spans="1:2" x14ac:dyDescent="0.3">
      <c r="A1435" s="2"/>
      <c r="B1435" s="2"/>
    </row>
    <row r="1436" spans="1:2" x14ac:dyDescent="0.3">
      <c r="A1436" s="2"/>
      <c r="B1436" s="2"/>
    </row>
    <row r="1437" spans="1:2" x14ac:dyDescent="0.3">
      <c r="A1437" s="2"/>
      <c r="B1437" s="2"/>
    </row>
    <row r="1438" spans="1:2" x14ac:dyDescent="0.3">
      <c r="A1438" s="2"/>
      <c r="B1438" s="2"/>
    </row>
    <row r="1439" spans="1:2" x14ac:dyDescent="0.3">
      <c r="A1439" s="2"/>
      <c r="B1439" s="2"/>
    </row>
    <row r="1440" spans="1:2" x14ac:dyDescent="0.3">
      <c r="A1440" s="2"/>
      <c r="B1440" s="2"/>
    </row>
    <row r="1441" spans="1:2" x14ac:dyDescent="0.3">
      <c r="A1441" s="2"/>
      <c r="B1441" s="2"/>
    </row>
    <row r="1442" spans="1:2" x14ac:dyDescent="0.3">
      <c r="A1442" s="2"/>
      <c r="B1442" s="2"/>
    </row>
    <row r="1443" spans="1:2" x14ac:dyDescent="0.3">
      <c r="A1443" s="2"/>
      <c r="B1443" s="2"/>
    </row>
    <row r="1444" spans="1:2" x14ac:dyDescent="0.3">
      <c r="A1444" s="2"/>
      <c r="B1444" s="2"/>
    </row>
    <row r="1445" spans="1:2" x14ac:dyDescent="0.3">
      <c r="A1445" s="2"/>
      <c r="B1445" s="2"/>
    </row>
    <row r="1446" spans="1:2" x14ac:dyDescent="0.3">
      <c r="A1446" s="2"/>
      <c r="B1446" s="2"/>
    </row>
    <row r="1447" spans="1:2" x14ac:dyDescent="0.3">
      <c r="A1447" s="2"/>
      <c r="B1447" s="2"/>
    </row>
    <row r="1448" spans="1:2" x14ac:dyDescent="0.3">
      <c r="A1448" s="2"/>
      <c r="B1448" s="2"/>
    </row>
    <row r="1449" spans="1:2" x14ac:dyDescent="0.3">
      <c r="A1449" s="2"/>
      <c r="B1449" s="2"/>
    </row>
    <row r="1450" spans="1:2" x14ac:dyDescent="0.3">
      <c r="A1450" s="2"/>
      <c r="B1450" s="2"/>
    </row>
    <row r="1451" spans="1:2" x14ac:dyDescent="0.3">
      <c r="A1451" s="2"/>
      <c r="B1451" s="2"/>
    </row>
    <row r="1452" spans="1:2" x14ac:dyDescent="0.3">
      <c r="A1452" s="2"/>
      <c r="B1452" s="2"/>
    </row>
    <row r="1453" spans="1:2" x14ac:dyDescent="0.3">
      <c r="A1453" s="2"/>
      <c r="B1453" s="2"/>
    </row>
    <row r="1454" spans="1:2" x14ac:dyDescent="0.3">
      <c r="A1454" s="2"/>
      <c r="B1454" s="2"/>
    </row>
    <row r="1455" spans="1:2" x14ac:dyDescent="0.3">
      <c r="A1455" s="2"/>
      <c r="B1455" s="2"/>
    </row>
    <row r="1456" spans="1:2" x14ac:dyDescent="0.3">
      <c r="A1456" s="2"/>
      <c r="B1456" s="2"/>
    </row>
    <row r="1457" spans="1:2" x14ac:dyDescent="0.3">
      <c r="A1457" s="2"/>
      <c r="B1457" s="2"/>
    </row>
    <row r="1458" spans="1:2" x14ac:dyDescent="0.3">
      <c r="A1458" s="2"/>
      <c r="B1458" s="2"/>
    </row>
    <row r="1459" spans="1:2" x14ac:dyDescent="0.3">
      <c r="A1459" s="2"/>
      <c r="B1459" s="2"/>
    </row>
    <row r="1460" spans="1:2" x14ac:dyDescent="0.3">
      <c r="A1460" s="2"/>
      <c r="B1460" s="2"/>
    </row>
    <row r="1461" spans="1:2" x14ac:dyDescent="0.3">
      <c r="A1461" s="2"/>
      <c r="B1461" s="2"/>
    </row>
    <row r="1462" spans="1:2" x14ac:dyDescent="0.3">
      <c r="A1462" s="2"/>
      <c r="B1462" s="2"/>
    </row>
    <row r="1463" spans="1:2" x14ac:dyDescent="0.3">
      <c r="A1463" s="2"/>
      <c r="B1463" s="2"/>
    </row>
    <row r="1464" spans="1:2" x14ac:dyDescent="0.3">
      <c r="A1464" s="2"/>
      <c r="B1464" s="2"/>
    </row>
    <row r="1465" spans="1:2" x14ac:dyDescent="0.3">
      <c r="A1465" s="2"/>
      <c r="B1465" s="2"/>
    </row>
    <row r="1466" spans="1:2" x14ac:dyDescent="0.3">
      <c r="A1466" s="2"/>
      <c r="B1466" s="2"/>
    </row>
    <row r="1467" spans="1:2" x14ac:dyDescent="0.3">
      <c r="A1467" s="2"/>
      <c r="B1467" s="2"/>
    </row>
    <row r="1468" spans="1:2" x14ac:dyDescent="0.3">
      <c r="A1468" s="2"/>
      <c r="B1468" s="2"/>
    </row>
    <row r="1469" spans="1:2" x14ac:dyDescent="0.3">
      <c r="A1469" s="2"/>
      <c r="B1469" s="2"/>
    </row>
    <row r="1470" spans="1:2" x14ac:dyDescent="0.3">
      <c r="A1470" s="2"/>
      <c r="B1470" s="2"/>
    </row>
    <row r="1471" spans="1:2" x14ac:dyDescent="0.3">
      <c r="A1471" s="2"/>
      <c r="B1471" s="2"/>
    </row>
    <row r="1472" spans="1:2" x14ac:dyDescent="0.3">
      <c r="A1472" s="2"/>
      <c r="B1472" s="2"/>
    </row>
    <row r="1473" spans="1:2" x14ac:dyDescent="0.3">
      <c r="A1473" s="2"/>
      <c r="B1473" s="2"/>
    </row>
    <row r="1474" spans="1:2" x14ac:dyDescent="0.3">
      <c r="A1474" s="2"/>
      <c r="B1474" s="2"/>
    </row>
    <row r="1475" spans="1:2" x14ac:dyDescent="0.3">
      <c r="A1475" s="2"/>
      <c r="B1475" s="2"/>
    </row>
    <row r="1476" spans="1:2" x14ac:dyDescent="0.3">
      <c r="A1476" s="2"/>
      <c r="B1476" s="2"/>
    </row>
    <row r="1477" spans="1:2" x14ac:dyDescent="0.3">
      <c r="A1477" s="2"/>
      <c r="B1477" s="2"/>
    </row>
    <row r="1478" spans="1:2" x14ac:dyDescent="0.3">
      <c r="A1478" s="2"/>
      <c r="B1478" s="2"/>
    </row>
    <row r="1479" spans="1:2" x14ac:dyDescent="0.3">
      <c r="A1479" s="2"/>
      <c r="B1479" s="2"/>
    </row>
    <row r="1480" spans="1:2" x14ac:dyDescent="0.3">
      <c r="A1480" s="2"/>
      <c r="B1480" s="2"/>
    </row>
    <row r="1481" spans="1:2" x14ac:dyDescent="0.3">
      <c r="A1481" s="2"/>
      <c r="B1481" s="2"/>
    </row>
    <row r="1482" spans="1:2" x14ac:dyDescent="0.3">
      <c r="A1482" s="2"/>
      <c r="B1482" s="2"/>
    </row>
    <row r="1483" spans="1:2" x14ac:dyDescent="0.3">
      <c r="A1483" s="2"/>
      <c r="B1483" s="2"/>
    </row>
    <row r="1484" spans="1:2" x14ac:dyDescent="0.3">
      <c r="A1484" s="2"/>
      <c r="B1484" s="2"/>
    </row>
    <row r="1485" spans="1:2" x14ac:dyDescent="0.3">
      <c r="A1485" s="2"/>
      <c r="B1485" s="2"/>
    </row>
    <row r="1486" spans="1:2" x14ac:dyDescent="0.3">
      <c r="A1486" s="2"/>
      <c r="B1486" s="2"/>
    </row>
    <row r="1487" spans="1:2" x14ac:dyDescent="0.3">
      <c r="A1487" s="2"/>
      <c r="B1487" s="2"/>
    </row>
    <row r="1488" spans="1:2" x14ac:dyDescent="0.3">
      <c r="A1488" s="2"/>
      <c r="B1488" s="2"/>
    </row>
    <row r="1489" spans="1:2" x14ac:dyDescent="0.3">
      <c r="A1489" s="2"/>
      <c r="B1489" s="2"/>
    </row>
    <row r="1490" spans="1:2" x14ac:dyDescent="0.3">
      <c r="A1490" s="2"/>
      <c r="B1490" s="2"/>
    </row>
    <row r="1491" spans="1:2" x14ac:dyDescent="0.3">
      <c r="A1491" s="2"/>
      <c r="B1491" s="2"/>
    </row>
    <row r="1492" spans="1:2" x14ac:dyDescent="0.3">
      <c r="A1492" s="2"/>
      <c r="B1492" s="2"/>
    </row>
    <row r="1493" spans="1:2" x14ac:dyDescent="0.3">
      <c r="A1493" s="2"/>
      <c r="B1493" s="2"/>
    </row>
    <row r="1494" spans="1:2" x14ac:dyDescent="0.3">
      <c r="A1494" s="2"/>
      <c r="B1494" s="2"/>
    </row>
    <row r="1495" spans="1:2" x14ac:dyDescent="0.3">
      <c r="A1495" s="2"/>
      <c r="B1495" s="2"/>
    </row>
    <row r="1496" spans="1:2" x14ac:dyDescent="0.3">
      <c r="A1496" s="2"/>
      <c r="B1496" s="2"/>
    </row>
    <row r="1497" spans="1:2" x14ac:dyDescent="0.3">
      <c r="A1497" s="2"/>
      <c r="B1497" s="2"/>
    </row>
    <row r="1498" spans="1:2" x14ac:dyDescent="0.3">
      <c r="A1498" s="2"/>
      <c r="B1498" s="2"/>
    </row>
    <row r="1499" spans="1:2" x14ac:dyDescent="0.3">
      <c r="A1499" s="2"/>
      <c r="B1499" s="2"/>
    </row>
    <row r="1500" spans="1:2" x14ac:dyDescent="0.3">
      <c r="A1500" s="2"/>
      <c r="B1500" s="2"/>
    </row>
    <row r="1501" spans="1:2" x14ac:dyDescent="0.3">
      <c r="A1501" s="2"/>
      <c r="B1501" s="2"/>
    </row>
    <row r="1502" spans="1:2" x14ac:dyDescent="0.3">
      <c r="A1502" s="2"/>
      <c r="B1502" s="2"/>
    </row>
    <row r="1503" spans="1:2" x14ac:dyDescent="0.3">
      <c r="A1503" s="2"/>
      <c r="B1503" s="2"/>
    </row>
    <row r="1504" spans="1:2" x14ac:dyDescent="0.3">
      <c r="A1504" s="2"/>
      <c r="B1504" s="2"/>
    </row>
    <row r="1505" spans="1:2" x14ac:dyDescent="0.3">
      <c r="A1505" s="2"/>
      <c r="B1505" s="2"/>
    </row>
    <row r="1506" spans="1:2" x14ac:dyDescent="0.3">
      <c r="A1506" s="2"/>
      <c r="B1506" s="2"/>
    </row>
    <row r="1507" spans="1:2" x14ac:dyDescent="0.3">
      <c r="A1507" s="2"/>
      <c r="B1507" s="2"/>
    </row>
    <row r="1508" spans="1:2" x14ac:dyDescent="0.3">
      <c r="A1508" s="2"/>
      <c r="B1508" s="2"/>
    </row>
    <row r="1509" spans="1:2" x14ac:dyDescent="0.3">
      <c r="A1509" s="2"/>
      <c r="B1509" s="2"/>
    </row>
    <row r="1510" spans="1:2" x14ac:dyDescent="0.3">
      <c r="A1510" s="2"/>
      <c r="B1510" s="2"/>
    </row>
    <row r="1511" spans="1:2" x14ac:dyDescent="0.3">
      <c r="A1511" s="2"/>
      <c r="B1511" s="2"/>
    </row>
    <row r="1512" spans="1:2" x14ac:dyDescent="0.3">
      <c r="A1512" s="2"/>
      <c r="B1512" s="2"/>
    </row>
    <row r="1513" spans="1:2" x14ac:dyDescent="0.3">
      <c r="A1513" s="2"/>
      <c r="B1513" s="2"/>
    </row>
    <row r="1514" spans="1:2" x14ac:dyDescent="0.3">
      <c r="A1514" s="2"/>
      <c r="B1514" s="2"/>
    </row>
    <row r="1515" spans="1:2" x14ac:dyDescent="0.3">
      <c r="A1515" s="2"/>
      <c r="B1515" s="2"/>
    </row>
    <row r="1516" spans="1:2" x14ac:dyDescent="0.3">
      <c r="A1516" s="2"/>
      <c r="B1516" s="2"/>
    </row>
    <row r="1517" spans="1:2" x14ac:dyDescent="0.3">
      <c r="A1517" s="2"/>
      <c r="B1517" s="2"/>
    </row>
    <row r="1518" spans="1:2" x14ac:dyDescent="0.3">
      <c r="A1518" s="2"/>
      <c r="B1518" s="2"/>
    </row>
    <row r="1519" spans="1:2" x14ac:dyDescent="0.3">
      <c r="A1519" s="2"/>
      <c r="B1519" s="2"/>
    </row>
    <row r="1520" spans="1:2" x14ac:dyDescent="0.3">
      <c r="A1520" s="2"/>
      <c r="B1520" s="2"/>
    </row>
    <row r="1521" spans="1:2" x14ac:dyDescent="0.3">
      <c r="A1521" s="2"/>
      <c r="B1521" s="2"/>
    </row>
    <row r="1522" spans="1:2" x14ac:dyDescent="0.3">
      <c r="A1522" s="2"/>
      <c r="B1522" s="2"/>
    </row>
    <row r="1523" spans="1:2" x14ac:dyDescent="0.3">
      <c r="A1523" s="2"/>
      <c r="B1523" s="2"/>
    </row>
    <row r="1524" spans="1:2" x14ac:dyDescent="0.3">
      <c r="A1524" s="2"/>
      <c r="B1524" s="2"/>
    </row>
    <row r="1525" spans="1:2" x14ac:dyDescent="0.3">
      <c r="A1525" s="2"/>
      <c r="B1525" s="2"/>
    </row>
    <row r="1526" spans="1:2" x14ac:dyDescent="0.3">
      <c r="A1526" s="2"/>
      <c r="B1526" s="2"/>
    </row>
    <row r="1527" spans="1:2" x14ac:dyDescent="0.3">
      <c r="A1527" s="2"/>
      <c r="B1527" s="2"/>
    </row>
    <row r="1528" spans="1:2" x14ac:dyDescent="0.3">
      <c r="A1528" s="2"/>
      <c r="B1528" s="2"/>
    </row>
    <row r="1529" spans="1:2" x14ac:dyDescent="0.3">
      <c r="A1529" s="2"/>
      <c r="B1529" s="2"/>
    </row>
    <row r="1530" spans="1:2" x14ac:dyDescent="0.3">
      <c r="A1530" s="2"/>
      <c r="B1530" s="2"/>
    </row>
    <row r="1531" spans="1:2" x14ac:dyDescent="0.3">
      <c r="A1531" s="2"/>
      <c r="B1531" s="2"/>
    </row>
    <row r="1532" spans="1:2" x14ac:dyDescent="0.3">
      <c r="A1532" s="2"/>
      <c r="B1532" s="2"/>
    </row>
    <row r="1533" spans="1:2" x14ac:dyDescent="0.3">
      <c r="A1533" s="2"/>
      <c r="B1533" s="2"/>
    </row>
    <row r="1534" spans="1:2" x14ac:dyDescent="0.3">
      <c r="A1534" s="2"/>
      <c r="B1534" s="2"/>
    </row>
    <row r="1535" spans="1:2" x14ac:dyDescent="0.3">
      <c r="A1535" s="2"/>
      <c r="B1535" s="2"/>
    </row>
    <row r="1536" spans="1:2" x14ac:dyDescent="0.3">
      <c r="A1536" s="2"/>
      <c r="B1536" s="2"/>
    </row>
    <row r="1537" spans="1:2" x14ac:dyDescent="0.3">
      <c r="A1537" s="2"/>
      <c r="B1537" s="2"/>
    </row>
    <row r="1538" spans="1:2" x14ac:dyDescent="0.3">
      <c r="A1538" s="2"/>
      <c r="B1538" s="2"/>
    </row>
    <row r="1539" spans="1:2" x14ac:dyDescent="0.3">
      <c r="A1539" s="2"/>
      <c r="B1539" s="2"/>
    </row>
    <row r="1540" spans="1:2" x14ac:dyDescent="0.3">
      <c r="A1540" s="2"/>
      <c r="B1540" s="2"/>
    </row>
    <row r="1541" spans="1:2" x14ac:dyDescent="0.3">
      <c r="A1541" s="2"/>
      <c r="B1541" s="2"/>
    </row>
    <row r="1542" spans="1:2" x14ac:dyDescent="0.3">
      <c r="A1542" s="2"/>
      <c r="B1542" s="2"/>
    </row>
    <row r="1543" spans="1:2" x14ac:dyDescent="0.3">
      <c r="A1543" s="2"/>
      <c r="B1543" s="2"/>
    </row>
    <row r="1544" spans="1:2" x14ac:dyDescent="0.3">
      <c r="A1544" s="2"/>
      <c r="B1544" s="2"/>
    </row>
    <row r="1545" spans="1:2" x14ac:dyDescent="0.3">
      <c r="A1545" s="2"/>
      <c r="B1545" s="2"/>
    </row>
    <row r="1546" spans="1:2" x14ac:dyDescent="0.3">
      <c r="A1546" s="2"/>
      <c r="B1546" s="2"/>
    </row>
    <row r="1547" spans="1:2" x14ac:dyDescent="0.3">
      <c r="A1547" s="2"/>
      <c r="B1547" s="2"/>
    </row>
    <row r="1548" spans="1:2" x14ac:dyDescent="0.3">
      <c r="A1548" s="2"/>
      <c r="B1548" s="2"/>
    </row>
    <row r="1549" spans="1:2" x14ac:dyDescent="0.3">
      <c r="A1549" s="2"/>
      <c r="B1549" s="2"/>
    </row>
    <row r="1550" spans="1:2" x14ac:dyDescent="0.3">
      <c r="A1550" s="2"/>
      <c r="B1550" s="2"/>
    </row>
    <row r="1551" spans="1:2" x14ac:dyDescent="0.3">
      <c r="A1551" s="2"/>
      <c r="B1551" s="2"/>
    </row>
    <row r="1552" spans="1:2" x14ac:dyDescent="0.3">
      <c r="A1552" s="2"/>
      <c r="B1552" s="2"/>
    </row>
    <row r="1553" spans="1:2" x14ac:dyDescent="0.3">
      <c r="A1553" s="2"/>
      <c r="B1553" s="2"/>
    </row>
    <row r="1554" spans="1:2" x14ac:dyDescent="0.3">
      <c r="A1554" s="2"/>
      <c r="B1554" s="2"/>
    </row>
    <row r="1555" spans="1:2" x14ac:dyDescent="0.3">
      <c r="A1555" s="2"/>
      <c r="B1555" s="2"/>
    </row>
    <row r="1556" spans="1:2" x14ac:dyDescent="0.3">
      <c r="A1556" s="2"/>
      <c r="B1556" s="2"/>
    </row>
    <row r="1557" spans="1:2" x14ac:dyDescent="0.3">
      <c r="A1557" s="2"/>
      <c r="B1557" s="2"/>
    </row>
    <row r="1558" spans="1:2" x14ac:dyDescent="0.3">
      <c r="A1558" s="2"/>
      <c r="B1558" s="2"/>
    </row>
    <row r="1559" spans="1:2" x14ac:dyDescent="0.3">
      <c r="A1559" s="2"/>
      <c r="B1559" s="2"/>
    </row>
    <row r="1560" spans="1:2" x14ac:dyDescent="0.3">
      <c r="A1560" s="2"/>
      <c r="B1560" s="2"/>
    </row>
    <row r="1561" spans="1:2" x14ac:dyDescent="0.3">
      <c r="A1561" s="2"/>
      <c r="B1561" s="2"/>
    </row>
    <row r="1562" spans="1:2" x14ac:dyDescent="0.3">
      <c r="A1562" s="2"/>
      <c r="B1562" s="2"/>
    </row>
    <row r="1563" spans="1:2" x14ac:dyDescent="0.3">
      <c r="A1563" s="2"/>
      <c r="B1563" s="2"/>
    </row>
    <row r="1564" spans="1:2" x14ac:dyDescent="0.3">
      <c r="A1564" s="2"/>
      <c r="B1564" s="2"/>
    </row>
    <row r="1565" spans="1:2" x14ac:dyDescent="0.3">
      <c r="A1565" s="2"/>
      <c r="B1565" s="2"/>
    </row>
    <row r="1566" spans="1:2" x14ac:dyDescent="0.3">
      <c r="A1566" s="2"/>
      <c r="B1566" s="2"/>
    </row>
    <row r="1567" spans="1:2" x14ac:dyDescent="0.3">
      <c r="A1567" s="2"/>
      <c r="B1567" s="2"/>
    </row>
    <row r="1568" spans="1:2" x14ac:dyDescent="0.3">
      <c r="A1568" s="2"/>
      <c r="B1568" s="2"/>
    </row>
    <row r="1569" spans="1:2" x14ac:dyDescent="0.3">
      <c r="A1569" s="2"/>
      <c r="B1569" s="2"/>
    </row>
    <row r="1570" spans="1:2" x14ac:dyDescent="0.3">
      <c r="A1570" s="2"/>
      <c r="B1570" s="2"/>
    </row>
    <row r="1571" spans="1:2" x14ac:dyDescent="0.3">
      <c r="A1571" s="2"/>
      <c r="B1571" s="2"/>
    </row>
    <row r="1572" spans="1:2" x14ac:dyDescent="0.3">
      <c r="A1572" s="2"/>
      <c r="B1572" s="2"/>
    </row>
    <row r="1573" spans="1:2" x14ac:dyDescent="0.3">
      <c r="A1573" s="2"/>
      <c r="B1573" s="2"/>
    </row>
    <row r="1574" spans="1:2" x14ac:dyDescent="0.3">
      <c r="A1574" s="2"/>
      <c r="B1574" s="2"/>
    </row>
    <row r="1575" spans="1:2" x14ac:dyDescent="0.3">
      <c r="A1575" s="2"/>
      <c r="B1575" s="2"/>
    </row>
    <row r="1576" spans="1:2" x14ac:dyDescent="0.3">
      <c r="A1576" s="2"/>
      <c r="B1576" s="2"/>
    </row>
    <row r="1577" spans="1:2" x14ac:dyDescent="0.3">
      <c r="A1577" s="2"/>
      <c r="B1577" s="2"/>
    </row>
    <row r="1578" spans="1:2" x14ac:dyDescent="0.3">
      <c r="A1578" s="2"/>
      <c r="B1578" s="2"/>
    </row>
    <row r="1579" spans="1:2" x14ac:dyDescent="0.3">
      <c r="A1579" s="2"/>
      <c r="B1579" s="2"/>
    </row>
    <row r="1580" spans="1:2" x14ac:dyDescent="0.3">
      <c r="A1580" s="2"/>
      <c r="B1580" s="2"/>
    </row>
    <row r="1581" spans="1:2" x14ac:dyDescent="0.3">
      <c r="A1581" s="2"/>
      <c r="B1581" s="2"/>
    </row>
    <row r="1582" spans="1:2" x14ac:dyDescent="0.3">
      <c r="A1582" s="2"/>
      <c r="B1582" s="2"/>
    </row>
    <row r="1583" spans="1:2" x14ac:dyDescent="0.3">
      <c r="A1583" s="2"/>
      <c r="B1583" s="2"/>
    </row>
    <row r="1584" spans="1:2" x14ac:dyDescent="0.3">
      <c r="A1584" s="2"/>
      <c r="B1584" s="2"/>
    </row>
    <row r="1585" spans="1:2" x14ac:dyDescent="0.3">
      <c r="A1585" s="2"/>
      <c r="B1585" s="2"/>
    </row>
    <row r="1586" spans="1:2" x14ac:dyDescent="0.3">
      <c r="A1586" s="2"/>
      <c r="B1586" s="2"/>
    </row>
    <row r="1587" spans="1:2" x14ac:dyDescent="0.3">
      <c r="A1587" s="2"/>
      <c r="B1587" s="2"/>
    </row>
    <row r="1588" spans="1:2" x14ac:dyDescent="0.3">
      <c r="A1588" s="2"/>
      <c r="B1588" s="2"/>
    </row>
    <row r="1589" spans="1:2" x14ac:dyDescent="0.3">
      <c r="A1589" s="2"/>
      <c r="B1589" s="2"/>
    </row>
    <row r="1590" spans="1:2" x14ac:dyDescent="0.3">
      <c r="A1590" s="2"/>
      <c r="B1590" s="2"/>
    </row>
    <row r="1591" spans="1:2" x14ac:dyDescent="0.3">
      <c r="A1591" s="2"/>
      <c r="B1591" s="2"/>
    </row>
    <row r="1592" spans="1:2" x14ac:dyDescent="0.3">
      <c r="A1592" s="2"/>
      <c r="B1592" s="2"/>
    </row>
    <row r="1593" spans="1:2" x14ac:dyDescent="0.3">
      <c r="A1593" s="2"/>
      <c r="B1593" s="2"/>
    </row>
    <row r="1594" spans="1:2" x14ac:dyDescent="0.3">
      <c r="A1594" s="2"/>
      <c r="B1594" s="2"/>
    </row>
    <row r="1595" spans="1:2" x14ac:dyDescent="0.3">
      <c r="A1595" s="2"/>
      <c r="B1595" s="2"/>
    </row>
    <row r="1596" spans="1:2" x14ac:dyDescent="0.3">
      <c r="A1596" s="2"/>
      <c r="B1596" s="2"/>
    </row>
    <row r="1597" spans="1:2" x14ac:dyDescent="0.3">
      <c r="A1597" s="2"/>
      <c r="B1597" s="2"/>
    </row>
    <row r="1598" spans="1:2" x14ac:dyDescent="0.3">
      <c r="A1598" s="2"/>
      <c r="B1598" s="2"/>
    </row>
    <row r="1599" spans="1:2" x14ac:dyDescent="0.3">
      <c r="A1599" s="2"/>
      <c r="B1599" s="2"/>
    </row>
    <row r="1600" spans="1:2" x14ac:dyDescent="0.3">
      <c r="A1600" s="2"/>
      <c r="B1600" s="2"/>
    </row>
    <row r="1601" spans="1:2" x14ac:dyDescent="0.3">
      <c r="A1601" s="2"/>
      <c r="B1601" s="2"/>
    </row>
    <row r="1602" spans="1:2" x14ac:dyDescent="0.3">
      <c r="A1602" s="2"/>
      <c r="B1602" s="2"/>
    </row>
    <row r="1603" spans="1:2" x14ac:dyDescent="0.3">
      <c r="A1603" s="2"/>
      <c r="B1603" s="2"/>
    </row>
    <row r="1604" spans="1:2" x14ac:dyDescent="0.3">
      <c r="A1604" s="2"/>
      <c r="B1604" s="2"/>
    </row>
    <row r="1605" spans="1:2" x14ac:dyDescent="0.3">
      <c r="A1605" s="2"/>
      <c r="B1605" s="2"/>
    </row>
    <row r="1606" spans="1:2" x14ac:dyDescent="0.3">
      <c r="A1606" s="2"/>
      <c r="B1606" s="2"/>
    </row>
    <row r="1607" spans="1:2" x14ac:dyDescent="0.3">
      <c r="A1607" s="2"/>
      <c r="B1607" s="2"/>
    </row>
    <row r="1608" spans="1:2" x14ac:dyDescent="0.3">
      <c r="A1608" s="2"/>
      <c r="B1608" s="2"/>
    </row>
    <row r="1609" spans="1:2" x14ac:dyDescent="0.3">
      <c r="A1609" s="2"/>
      <c r="B1609" s="2"/>
    </row>
    <row r="1610" spans="1:2" x14ac:dyDescent="0.3">
      <c r="A1610" s="2"/>
      <c r="B1610" s="2"/>
    </row>
    <row r="1611" spans="1:2" x14ac:dyDescent="0.3">
      <c r="A1611" s="2"/>
      <c r="B1611" s="2"/>
    </row>
    <row r="1612" spans="1:2" x14ac:dyDescent="0.3">
      <c r="A1612" s="2"/>
      <c r="B1612" s="2"/>
    </row>
    <row r="1613" spans="1:2" x14ac:dyDescent="0.3">
      <c r="A1613" s="2"/>
      <c r="B1613" s="2"/>
    </row>
    <row r="1614" spans="1:2" x14ac:dyDescent="0.3">
      <c r="A1614" s="2"/>
      <c r="B1614" s="2"/>
    </row>
    <row r="1615" spans="1:2" x14ac:dyDescent="0.3">
      <c r="A1615" s="2"/>
      <c r="B1615" s="2"/>
    </row>
    <row r="1616" spans="1:2" x14ac:dyDescent="0.3">
      <c r="A1616" s="2"/>
      <c r="B1616" s="2"/>
    </row>
    <row r="1617" spans="1:2" x14ac:dyDescent="0.3">
      <c r="A1617" s="2"/>
      <c r="B1617" s="2"/>
    </row>
    <row r="1618" spans="1:2" x14ac:dyDescent="0.3">
      <c r="A1618" s="2"/>
      <c r="B1618" s="2"/>
    </row>
    <row r="1619" spans="1:2" x14ac:dyDescent="0.3">
      <c r="A1619" s="2"/>
      <c r="B1619" s="2"/>
    </row>
    <row r="1620" spans="1:2" x14ac:dyDescent="0.3">
      <c r="A1620" s="2"/>
      <c r="B1620" s="2"/>
    </row>
    <row r="1621" spans="1:2" x14ac:dyDescent="0.3">
      <c r="A1621" s="2"/>
      <c r="B1621" s="2"/>
    </row>
    <row r="1622" spans="1:2" x14ac:dyDescent="0.3">
      <c r="A1622" s="2"/>
      <c r="B1622" s="2"/>
    </row>
    <row r="1623" spans="1:2" x14ac:dyDescent="0.3">
      <c r="A1623" s="2"/>
      <c r="B1623" s="2"/>
    </row>
    <row r="1624" spans="1:2" x14ac:dyDescent="0.3">
      <c r="A1624" s="2"/>
      <c r="B1624" s="2"/>
    </row>
    <row r="1625" spans="1:2" x14ac:dyDescent="0.3">
      <c r="A1625" s="2"/>
      <c r="B1625" s="2"/>
    </row>
    <row r="1626" spans="1:2" x14ac:dyDescent="0.3">
      <c r="A1626" s="2"/>
      <c r="B1626" s="2"/>
    </row>
    <row r="1627" spans="1:2" x14ac:dyDescent="0.3">
      <c r="A1627" s="2"/>
      <c r="B1627" s="2"/>
    </row>
    <row r="1628" spans="1:2" x14ac:dyDescent="0.3">
      <c r="A1628" s="2"/>
      <c r="B1628" s="2"/>
    </row>
    <row r="1629" spans="1:2" x14ac:dyDescent="0.3">
      <c r="A1629" s="2"/>
      <c r="B1629" s="2"/>
    </row>
    <row r="1630" spans="1:2" x14ac:dyDescent="0.3">
      <c r="A1630" s="2"/>
      <c r="B1630" s="2"/>
    </row>
    <row r="1631" spans="1:2" x14ac:dyDescent="0.3">
      <c r="A1631" s="2"/>
      <c r="B1631" s="2"/>
    </row>
    <row r="1632" spans="1:2" x14ac:dyDescent="0.3">
      <c r="A1632" s="2"/>
      <c r="B1632" s="2"/>
    </row>
    <row r="1633" spans="1:2" x14ac:dyDescent="0.3">
      <c r="A1633" s="2"/>
      <c r="B1633" s="2"/>
    </row>
    <row r="1634" spans="1:2" x14ac:dyDescent="0.3">
      <c r="A1634" s="2"/>
      <c r="B1634" s="2"/>
    </row>
    <row r="1635" spans="1:2" x14ac:dyDescent="0.3">
      <c r="A1635" s="2"/>
      <c r="B1635" s="2"/>
    </row>
    <row r="1636" spans="1:2" x14ac:dyDescent="0.3">
      <c r="A1636" s="2"/>
      <c r="B1636" s="2"/>
    </row>
    <row r="1637" spans="1:2" x14ac:dyDescent="0.3">
      <c r="A1637" s="2"/>
      <c r="B1637" s="2"/>
    </row>
    <row r="1638" spans="1:2" x14ac:dyDescent="0.3">
      <c r="A1638" s="2"/>
      <c r="B1638" s="2"/>
    </row>
    <row r="1639" spans="1:2" x14ac:dyDescent="0.3">
      <c r="A1639" s="2"/>
      <c r="B1639" s="2"/>
    </row>
    <row r="1640" spans="1:2" x14ac:dyDescent="0.3">
      <c r="A1640" s="2"/>
      <c r="B1640" s="2"/>
    </row>
    <row r="1641" spans="1:2" x14ac:dyDescent="0.3">
      <c r="A1641" s="2"/>
      <c r="B1641" s="2"/>
    </row>
    <row r="1642" spans="1:2" x14ac:dyDescent="0.3">
      <c r="A1642" s="2"/>
      <c r="B1642" s="2"/>
    </row>
    <row r="1643" spans="1:2" x14ac:dyDescent="0.3">
      <c r="A1643" s="2"/>
      <c r="B1643" s="2"/>
    </row>
    <row r="1644" spans="1:2" x14ac:dyDescent="0.3">
      <c r="A1644" s="2"/>
      <c r="B1644" s="2"/>
    </row>
    <row r="1645" spans="1:2" x14ac:dyDescent="0.3">
      <c r="A1645" s="2"/>
      <c r="B1645" s="2"/>
    </row>
    <row r="1646" spans="1:2" x14ac:dyDescent="0.3">
      <c r="A1646" s="2"/>
      <c r="B1646" s="2"/>
    </row>
    <row r="1647" spans="1:2" x14ac:dyDescent="0.3">
      <c r="A1647" s="2"/>
      <c r="B1647" s="2"/>
    </row>
    <row r="1648" spans="1:2" x14ac:dyDescent="0.3">
      <c r="A1648" s="2"/>
      <c r="B1648" s="2"/>
    </row>
    <row r="1649" spans="1:2" x14ac:dyDescent="0.3">
      <c r="A1649" s="2"/>
      <c r="B1649" s="2"/>
    </row>
    <row r="1650" spans="1:2" x14ac:dyDescent="0.3">
      <c r="A1650" s="2"/>
      <c r="B1650" s="2"/>
    </row>
    <row r="1651" spans="1:2" x14ac:dyDescent="0.3">
      <c r="A1651" s="2"/>
      <c r="B1651" s="2"/>
    </row>
    <row r="1652" spans="1:2" x14ac:dyDescent="0.3">
      <c r="A1652" s="2"/>
      <c r="B1652" s="2"/>
    </row>
    <row r="1653" spans="1:2" x14ac:dyDescent="0.3">
      <c r="A1653" s="2"/>
      <c r="B1653" s="2"/>
    </row>
    <row r="1654" spans="1:2" x14ac:dyDescent="0.3">
      <c r="A1654" s="2"/>
      <c r="B1654" s="2"/>
    </row>
    <row r="1655" spans="1:2" x14ac:dyDescent="0.3">
      <c r="A1655" s="2"/>
      <c r="B1655" s="2"/>
    </row>
    <row r="1656" spans="1:2" x14ac:dyDescent="0.3">
      <c r="A1656" s="2"/>
      <c r="B1656" s="2"/>
    </row>
    <row r="1657" spans="1:2" x14ac:dyDescent="0.3">
      <c r="A1657" s="2"/>
      <c r="B1657" s="2"/>
    </row>
    <row r="1658" spans="1:2" x14ac:dyDescent="0.3">
      <c r="A1658" s="2"/>
      <c r="B1658" s="2"/>
    </row>
    <row r="1659" spans="1:2" x14ac:dyDescent="0.3">
      <c r="A1659" s="2"/>
      <c r="B1659" s="2"/>
    </row>
    <row r="1660" spans="1:2" x14ac:dyDescent="0.3">
      <c r="A1660" s="2"/>
      <c r="B1660" s="2"/>
    </row>
    <row r="1661" spans="1:2" x14ac:dyDescent="0.3">
      <c r="A1661" s="2"/>
      <c r="B1661" s="2"/>
    </row>
    <row r="1662" spans="1:2" x14ac:dyDescent="0.3">
      <c r="A1662" s="2"/>
      <c r="B1662" s="2"/>
    </row>
    <row r="1663" spans="1:2" x14ac:dyDescent="0.3">
      <c r="A1663" s="2"/>
      <c r="B1663" s="2"/>
    </row>
    <row r="1664" spans="1:2" x14ac:dyDescent="0.3">
      <c r="A1664" s="2"/>
      <c r="B1664" s="2"/>
    </row>
    <row r="1665" spans="1:2" x14ac:dyDescent="0.3">
      <c r="A1665" s="2"/>
      <c r="B1665" s="2"/>
    </row>
    <row r="1666" spans="1:2" x14ac:dyDescent="0.3">
      <c r="A1666" s="2"/>
      <c r="B1666" s="2"/>
    </row>
    <row r="1667" spans="1:2" x14ac:dyDescent="0.3">
      <c r="A1667" s="2"/>
      <c r="B1667" s="2"/>
    </row>
    <row r="1668" spans="1:2" x14ac:dyDescent="0.3">
      <c r="A1668" s="2"/>
      <c r="B1668" s="2"/>
    </row>
    <row r="1669" spans="1:2" x14ac:dyDescent="0.3">
      <c r="A1669" s="2"/>
      <c r="B1669" s="2"/>
    </row>
    <row r="1670" spans="1:2" x14ac:dyDescent="0.3">
      <c r="A1670" s="2"/>
      <c r="B1670" s="2"/>
    </row>
    <row r="1671" spans="1:2" x14ac:dyDescent="0.3">
      <c r="A1671" s="2"/>
      <c r="B1671" s="2"/>
    </row>
    <row r="1672" spans="1:2" x14ac:dyDescent="0.3">
      <c r="A1672" s="2"/>
      <c r="B1672" s="2"/>
    </row>
    <row r="1673" spans="1:2" x14ac:dyDescent="0.3">
      <c r="A1673" s="2"/>
      <c r="B1673" s="2"/>
    </row>
    <row r="1674" spans="1:2" x14ac:dyDescent="0.3">
      <c r="A1674" s="2"/>
      <c r="B1674" s="2"/>
    </row>
    <row r="1675" spans="1:2" x14ac:dyDescent="0.3">
      <c r="A1675" s="2"/>
      <c r="B1675" s="2"/>
    </row>
    <row r="1676" spans="1:2" x14ac:dyDescent="0.3">
      <c r="A1676" s="2"/>
      <c r="B1676" s="2"/>
    </row>
    <row r="1677" spans="1:2" x14ac:dyDescent="0.3">
      <c r="A1677" s="2"/>
      <c r="B1677" s="2"/>
    </row>
    <row r="1678" spans="1:2" x14ac:dyDescent="0.3">
      <c r="A1678" s="2"/>
      <c r="B1678" s="2"/>
    </row>
    <row r="1679" spans="1:2" x14ac:dyDescent="0.3">
      <c r="A1679" s="2"/>
      <c r="B1679" s="2"/>
    </row>
    <row r="1680" spans="1:2" x14ac:dyDescent="0.3">
      <c r="A1680" s="2"/>
      <c r="B1680" s="2"/>
    </row>
    <row r="1681" spans="1:2" x14ac:dyDescent="0.3">
      <c r="A1681" s="2"/>
      <c r="B1681" s="2"/>
    </row>
    <row r="1682" spans="1:2" x14ac:dyDescent="0.3">
      <c r="A1682" s="2"/>
      <c r="B1682" s="2"/>
    </row>
    <row r="1683" spans="1:2" x14ac:dyDescent="0.3">
      <c r="A1683" s="2"/>
      <c r="B1683" s="2"/>
    </row>
    <row r="1684" spans="1:2" x14ac:dyDescent="0.3">
      <c r="A1684" s="2"/>
      <c r="B1684" s="2"/>
    </row>
    <row r="1685" spans="1:2" x14ac:dyDescent="0.3">
      <c r="A1685" s="2"/>
      <c r="B1685" s="2"/>
    </row>
    <row r="1686" spans="1:2" x14ac:dyDescent="0.3">
      <c r="A1686" s="2"/>
      <c r="B1686" s="2"/>
    </row>
    <row r="1687" spans="1:2" x14ac:dyDescent="0.3">
      <c r="A1687" s="2"/>
      <c r="B1687" s="2"/>
    </row>
    <row r="1688" spans="1:2" x14ac:dyDescent="0.3">
      <c r="A1688" s="2"/>
      <c r="B1688" s="2"/>
    </row>
    <row r="1689" spans="1:2" x14ac:dyDescent="0.3">
      <c r="A1689" s="2"/>
      <c r="B1689" s="2"/>
    </row>
    <row r="1690" spans="1:2" x14ac:dyDescent="0.3">
      <c r="A1690" s="2"/>
      <c r="B1690" s="2"/>
    </row>
    <row r="1691" spans="1:2" x14ac:dyDescent="0.3">
      <c r="A1691" s="2"/>
      <c r="B1691" s="2"/>
    </row>
    <row r="1692" spans="1:2" x14ac:dyDescent="0.3">
      <c r="A1692" s="2"/>
      <c r="B1692" s="2"/>
    </row>
    <row r="1693" spans="1:2" x14ac:dyDescent="0.3">
      <c r="A1693" s="2"/>
      <c r="B1693" s="2"/>
    </row>
    <row r="1694" spans="1:2" x14ac:dyDescent="0.3">
      <c r="A1694" s="2"/>
      <c r="B1694" s="2"/>
    </row>
    <row r="1695" spans="1:2" x14ac:dyDescent="0.3">
      <c r="A1695" s="2"/>
      <c r="B1695" s="2"/>
    </row>
    <row r="1696" spans="1:2" x14ac:dyDescent="0.3">
      <c r="A1696" s="2"/>
      <c r="B1696" s="2"/>
    </row>
    <row r="1697" spans="1:2" x14ac:dyDescent="0.3">
      <c r="A1697" s="2"/>
      <c r="B1697" s="2"/>
    </row>
    <row r="1698" spans="1:2" x14ac:dyDescent="0.3">
      <c r="A1698" s="2"/>
      <c r="B1698" s="2"/>
    </row>
    <row r="1699" spans="1:2" x14ac:dyDescent="0.3">
      <c r="A1699" s="2"/>
      <c r="B1699" s="2"/>
    </row>
    <row r="1700" spans="1:2" x14ac:dyDescent="0.3">
      <c r="A1700" s="2"/>
      <c r="B1700" s="2"/>
    </row>
    <row r="1701" spans="1:2" x14ac:dyDescent="0.3">
      <c r="A1701" s="2"/>
      <c r="B1701" s="2"/>
    </row>
    <row r="1702" spans="1:2" x14ac:dyDescent="0.3">
      <c r="A1702" s="2"/>
      <c r="B1702" s="2"/>
    </row>
    <row r="1703" spans="1:2" x14ac:dyDescent="0.3">
      <c r="A1703" s="2"/>
      <c r="B1703" s="2"/>
    </row>
    <row r="1704" spans="1:2" x14ac:dyDescent="0.3">
      <c r="A1704" s="2"/>
      <c r="B1704" s="2"/>
    </row>
    <row r="1705" spans="1:2" x14ac:dyDescent="0.3">
      <c r="A1705" s="2"/>
      <c r="B1705" s="2"/>
    </row>
    <row r="1706" spans="1:2" x14ac:dyDescent="0.3">
      <c r="A1706" s="2"/>
      <c r="B1706" s="2"/>
    </row>
    <row r="1707" spans="1:2" x14ac:dyDescent="0.3">
      <c r="A1707" s="2"/>
      <c r="B1707" s="2"/>
    </row>
    <row r="1708" spans="1:2" x14ac:dyDescent="0.3">
      <c r="A1708" s="2"/>
      <c r="B1708" s="2"/>
    </row>
    <row r="1709" spans="1:2" x14ac:dyDescent="0.3">
      <c r="A1709" s="2"/>
      <c r="B1709" s="2"/>
    </row>
    <row r="1710" spans="1:2" x14ac:dyDescent="0.3">
      <c r="A1710" s="2"/>
      <c r="B1710" s="2"/>
    </row>
    <row r="1711" spans="1:2" x14ac:dyDescent="0.3">
      <c r="A1711" s="2"/>
      <c r="B1711" s="2"/>
    </row>
    <row r="1712" spans="1:2" x14ac:dyDescent="0.3">
      <c r="A1712" s="2"/>
      <c r="B1712" s="2"/>
    </row>
    <row r="1713" spans="1:2" x14ac:dyDescent="0.3">
      <c r="A1713" s="2"/>
      <c r="B1713" s="2"/>
    </row>
    <row r="1714" spans="1:2" x14ac:dyDescent="0.3">
      <c r="A1714" s="2"/>
      <c r="B1714" s="2"/>
    </row>
    <row r="1715" spans="1:2" x14ac:dyDescent="0.3">
      <c r="A1715" s="2"/>
      <c r="B1715" s="2"/>
    </row>
    <row r="1716" spans="1:2" x14ac:dyDescent="0.3">
      <c r="A1716" s="2"/>
      <c r="B1716" s="2"/>
    </row>
    <row r="1717" spans="1:2" x14ac:dyDescent="0.3">
      <c r="A1717" s="2"/>
      <c r="B1717" s="2"/>
    </row>
    <row r="1718" spans="1:2" x14ac:dyDescent="0.3">
      <c r="A1718" s="2"/>
      <c r="B1718" s="2"/>
    </row>
    <row r="1719" spans="1:2" x14ac:dyDescent="0.3">
      <c r="A1719" s="2"/>
      <c r="B1719" s="2"/>
    </row>
    <row r="1720" spans="1:2" x14ac:dyDescent="0.3">
      <c r="A1720" s="2"/>
      <c r="B1720" s="2"/>
    </row>
    <row r="1721" spans="1:2" x14ac:dyDescent="0.3">
      <c r="A1721" s="2"/>
      <c r="B1721" s="2"/>
    </row>
    <row r="1722" spans="1:2" x14ac:dyDescent="0.3">
      <c r="A1722" s="2"/>
      <c r="B1722" s="2"/>
    </row>
    <row r="1723" spans="1:2" x14ac:dyDescent="0.3">
      <c r="A1723" s="2"/>
      <c r="B1723" s="2"/>
    </row>
    <row r="1724" spans="1:2" x14ac:dyDescent="0.3">
      <c r="A1724" s="2"/>
      <c r="B1724" s="2"/>
    </row>
    <row r="1725" spans="1:2" x14ac:dyDescent="0.3">
      <c r="A1725" s="2"/>
      <c r="B1725" s="2"/>
    </row>
    <row r="1726" spans="1:2" x14ac:dyDescent="0.3">
      <c r="A1726" s="2"/>
      <c r="B1726" s="2"/>
    </row>
    <row r="1727" spans="1:2" x14ac:dyDescent="0.3">
      <c r="A1727" s="2"/>
      <c r="B1727" s="2"/>
    </row>
    <row r="1728" spans="1:2" x14ac:dyDescent="0.3">
      <c r="A1728" s="2"/>
      <c r="B1728" s="2"/>
    </row>
    <row r="1729" spans="1:2" x14ac:dyDescent="0.3">
      <c r="A1729" s="2"/>
      <c r="B1729" s="2"/>
    </row>
    <row r="1730" spans="1:2" x14ac:dyDescent="0.3">
      <c r="A1730" s="2"/>
      <c r="B1730" s="2"/>
    </row>
    <row r="1731" spans="1:2" x14ac:dyDescent="0.3">
      <c r="A1731" s="2"/>
      <c r="B1731" s="2"/>
    </row>
    <row r="1732" spans="1:2" x14ac:dyDescent="0.3">
      <c r="A1732" s="2"/>
      <c r="B1732" s="2"/>
    </row>
    <row r="1733" spans="1:2" x14ac:dyDescent="0.3">
      <c r="A1733" s="2"/>
      <c r="B1733" s="2"/>
    </row>
    <row r="1734" spans="1:2" x14ac:dyDescent="0.3">
      <c r="A1734" s="2"/>
      <c r="B1734" s="2"/>
    </row>
    <row r="1735" spans="1:2" x14ac:dyDescent="0.3">
      <c r="A1735" s="2"/>
      <c r="B1735" s="2"/>
    </row>
    <row r="1736" spans="1:2" x14ac:dyDescent="0.3">
      <c r="A1736" s="2"/>
      <c r="B1736" s="2"/>
    </row>
    <row r="1737" spans="1:2" x14ac:dyDescent="0.3">
      <c r="A1737" s="2"/>
      <c r="B1737" s="2"/>
    </row>
    <row r="1738" spans="1:2" x14ac:dyDescent="0.3">
      <c r="A1738" s="2"/>
      <c r="B1738" s="2"/>
    </row>
    <row r="1739" spans="1:2" x14ac:dyDescent="0.3">
      <c r="A1739" s="2"/>
      <c r="B1739" s="2"/>
    </row>
    <row r="1740" spans="1:2" x14ac:dyDescent="0.3">
      <c r="A1740" s="2"/>
      <c r="B1740" s="2"/>
    </row>
    <row r="1741" spans="1:2" x14ac:dyDescent="0.3">
      <c r="A1741" s="2"/>
      <c r="B1741" s="2"/>
    </row>
    <row r="1742" spans="1:2" x14ac:dyDescent="0.3">
      <c r="A1742" s="2"/>
      <c r="B1742" s="2"/>
    </row>
    <row r="1743" spans="1:2" x14ac:dyDescent="0.3">
      <c r="A1743" s="2"/>
      <c r="B1743" s="2"/>
    </row>
    <row r="1744" spans="1:2" x14ac:dyDescent="0.3">
      <c r="A1744" s="2"/>
      <c r="B1744" s="2"/>
    </row>
    <row r="1745" spans="1:2" x14ac:dyDescent="0.3">
      <c r="A1745" s="2"/>
      <c r="B1745" s="2"/>
    </row>
    <row r="1746" spans="1:2" x14ac:dyDescent="0.3">
      <c r="A1746" s="2"/>
      <c r="B1746" s="2"/>
    </row>
    <row r="1747" spans="1:2" x14ac:dyDescent="0.3">
      <c r="A1747" s="2"/>
      <c r="B1747" s="2"/>
    </row>
    <row r="1748" spans="1:2" x14ac:dyDescent="0.3">
      <c r="A1748" s="2"/>
      <c r="B1748" s="2"/>
    </row>
    <row r="1749" spans="1:2" x14ac:dyDescent="0.3">
      <c r="A1749" s="2"/>
      <c r="B1749" s="2"/>
    </row>
    <row r="1750" spans="1:2" x14ac:dyDescent="0.3">
      <c r="A1750" s="2"/>
      <c r="B1750" s="2"/>
    </row>
    <row r="1751" spans="1:2" x14ac:dyDescent="0.3">
      <c r="A1751" s="2"/>
      <c r="B1751" s="2"/>
    </row>
    <row r="1752" spans="1:2" x14ac:dyDescent="0.3">
      <c r="A1752" s="2"/>
      <c r="B1752" s="2"/>
    </row>
    <row r="1753" spans="1:2" x14ac:dyDescent="0.3">
      <c r="A1753" s="2"/>
      <c r="B1753" s="2"/>
    </row>
    <row r="1754" spans="1:2" x14ac:dyDescent="0.3">
      <c r="A1754" s="2"/>
      <c r="B1754" s="2"/>
    </row>
    <row r="1755" spans="1:2" x14ac:dyDescent="0.3">
      <c r="A1755" s="2"/>
      <c r="B1755" s="2"/>
    </row>
    <row r="1756" spans="1:2" x14ac:dyDescent="0.3">
      <c r="A1756" s="2"/>
      <c r="B1756" s="2"/>
    </row>
    <row r="1757" spans="1:2" x14ac:dyDescent="0.3">
      <c r="A1757" s="2"/>
      <c r="B1757" s="2"/>
    </row>
    <row r="1758" spans="1:2" x14ac:dyDescent="0.3">
      <c r="A1758" s="2"/>
      <c r="B1758" s="2"/>
    </row>
    <row r="1759" spans="1:2" x14ac:dyDescent="0.3">
      <c r="A1759" s="2"/>
      <c r="B1759" s="2"/>
    </row>
    <row r="1760" spans="1:2" x14ac:dyDescent="0.3">
      <c r="A1760" s="2"/>
      <c r="B1760" s="2"/>
    </row>
    <row r="1761" spans="1:2" x14ac:dyDescent="0.3">
      <c r="A1761" s="2"/>
      <c r="B1761" s="2"/>
    </row>
    <row r="1762" spans="1:2" x14ac:dyDescent="0.3">
      <c r="A1762" s="2"/>
      <c r="B1762" s="2"/>
    </row>
    <row r="1763" spans="1:2" x14ac:dyDescent="0.3">
      <c r="A1763" s="2"/>
      <c r="B1763" s="2"/>
    </row>
    <row r="1764" spans="1:2" x14ac:dyDescent="0.3">
      <c r="A1764" s="2"/>
      <c r="B1764" s="2"/>
    </row>
    <row r="1765" spans="1:2" x14ac:dyDescent="0.3">
      <c r="A1765" s="2"/>
      <c r="B1765" s="2"/>
    </row>
    <row r="1766" spans="1:2" x14ac:dyDescent="0.3">
      <c r="A1766" s="2"/>
      <c r="B1766" s="2"/>
    </row>
    <row r="1767" spans="1:2" x14ac:dyDescent="0.3">
      <c r="A1767" s="2"/>
      <c r="B1767" s="2"/>
    </row>
    <row r="1768" spans="1:2" x14ac:dyDescent="0.3">
      <c r="A1768" s="2"/>
      <c r="B1768" s="2"/>
    </row>
    <row r="1769" spans="1:2" x14ac:dyDescent="0.3">
      <c r="A1769" s="2"/>
      <c r="B1769" s="2"/>
    </row>
    <row r="1770" spans="1:2" x14ac:dyDescent="0.3">
      <c r="A1770" s="2"/>
      <c r="B1770" s="2"/>
    </row>
    <row r="1771" spans="1:2" x14ac:dyDescent="0.3">
      <c r="A1771" s="2"/>
      <c r="B1771" s="2"/>
    </row>
    <row r="1772" spans="1:2" x14ac:dyDescent="0.3">
      <c r="A1772" s="2"/>
      <c r="B1772" s="2"/>
    </row>
    <row r="1773" spans="1:2" x14ac:dyDescent="0.3">
      <c r="A1773" s="2"/>
      <c r="B1773" s="2"/>
    </row>
    <row r="1774" spans="1:2" x14ac:dyDescent="0.3">
      <c r="A1774" s="2"/>
      <c r="B1774" s="2"/>
    </row>
    <row r="1775" spans="1:2" x14ac:dyDescent="0.3">
      <c r="A1775" s="2"/>
      <c r="B1775" s="2"/>
    </row>
    <row r="1776" spans="1:2" x14ac:dyDescent="0.3">
      <c r="A1776" s="2"/>
      <c r="B1776" s="2"/>
    </row>
    <row r="1777" spans="1:2" x14ac:dyDescent="0.3">
      <c r="A1777" s="2"/>
      <c r="B1777" s="2"/>
    </row>
    <row r="1778" spans="1:2" x14ac:dyDescent="0.3">
      <c r="A1778" s="2"/>
      <c r="B1778" s="2"/>
    </row>
    <row r="1779" spans="1:2" x14ac:dyDescent="0.3">
      <c r="A1779" s="2"/>
      <c r="B1779" s="2"/>
    </row>
    <row r="1780" spans="1:2" x14ac:dyDescent="0.3">
      <c r="A1780" s="2"/>
      <c r="B1780" s="2"/>
    </row>
    <row r="1781" spans="1:2" x14ac:dyDescent="0.3">
      <c r="A1781" s="2"/>
      <c r="B1781" s="2"/>
    </row>
    <row r="1782" spans="1:2" x14ac:dyDescent="0.3">
      <c r="A1782" s="2"/>
      <c r="B1782" s="2"/>
    </row>
    <row r="1783" spans="1:2" x14ac:dyDescent="0.3">
      <c r="A1783" s="2"/>
      <c r="B1783" s="2"/>
    </row>
    <row r="1784" spans="1:2" x14ac:dyDescent="0.3">
      <c r="A1784" s="2"/>
      <c r="B1784" s="2"/>
    </row>
    <row r="1785" spans="1:2" x14ac:dyDescent="0.3">
      <c r="A1785" s="2"/>
      <c r="B1785" s="2"/>
    </row>
    <row r="1786" spans="1:2" x14ac:dyDescent="0.3">
      <c r="A1786" s="2"/>
      <c r="B1786" s="2"/>
    </row>
    <row r="1787" spans="1:2" x14ac:dyDescent="0.3">
      <c r="A1787" s="2"/>
      <c r="B1787" s="2"/>
    </row>
    <row r="1788" spans="1:2" x14ac:dyDescent="0.3">
      <c r="A1788" s="2"/>
      <c r="B1788" s="2"/>
    </row>
    <row r="1789" spans="1:2" x14ac:dyDescent="0.3">
      <c r="A1789" s="2"/>
      <c r="B1789" s="2"/>
    </row>
    <row r="1790" spans="1:2" x14ac:dyDescent="0.3">
      <c r="A1790" s="2"/>
      <c r="B1790" s="2"/>
    </row>
    <row r="1791" spans="1:2" x14ac:dyDescent="0.3">
      <c r="A1791" s="2"/>
      <c r="B1791" s="2"/>
    </row>
    <row r="1792" spans="1:2" x14ac:dyDescent="0.3">
      <c r="A1792" s="2"/>
      <c r="B1792" s="2"/>
    </row>
    <row r="1793" spans="1:2" x14ac:dyDescent="0.3">
      <c r="A1793" s="2"/>
      <c r="B1793" s="2"/>
    </row>
    <row r="1794" spans="1:2" x14ac:dyDescent="0.3">
      <c r="A1794" s="2"/>
      <c r="B1794" s="2"/>
    </row>
    <row r="1795" spans="1:2" x14ac:dyDescent="0.3">
      <c r="A1795" s="2"/>
      <c r="B1795" s="2"/>
    </row>
    <row r="1796" spans="1:2" x14ac:dyDescent="0.3">
      <c r="A1796" s="2"/>
      <c r="B1796" s="2"/>
    </row>
    <row r="1797" spans="1:2" x14ac:dyDescent="0.3">
      <c r="A1797" s="2"/>
      <c r="B1797" s="2"/>
    </row>
    <row r="1798" spans="1:2" x14ac:dyDescent="0.3">
      <c r="A1798" s="2"/>
      <c r="B1798" s="2"/>
    </row>
    <row r="1799" spans="1:2" x14ac:dyDescent="0.3">
      <c r="A1799" s="2"/>
      <c r="B1799" s="2"/>
    </row>
    <row r="1800" spans="1:2" x14ac:dyDescent="0.3">
      <c r="A1800" s="2"/>
      <c r="B1800" s="2"/>
    </row>
    <row r="1801" spans="1:2" x14ac:dyDescent="0.3">
      <c r="A1801" s="2"/>
      <c r="B1801" s="2"/>
    </row>
    <row r="1802" spans="1:2" x14ac:dyDescent="0.3">
      <c r="A1802" s="2"/>
      <c r="B1802" s="2"/>
    </row>
    <row r="1803" spans="1:2" x14ac:dyDescent="0.3">
      <c r="A1803" s="2"/>
      <c r="B1803" s="2"/>
    </row>
    <row r="1804" spans="1:2" x14ac:dyDescent="0.3">
      <c r="A1804" s="2"/>
      <c r="B1804" s="2"/>
    </row>
    <row r="1805" spans="1:2" x14ac:dyDescent="0.3">
      <c r="A1805" s="2"/>
      <c r="B1805" s="2"/>
    </row>
    <row r="1806" spans="1:2" x14ac:dyDescent="0.3">
      <c r="A1806" s="2"/>
      <c r="B1806" s="2"/>
    </row>
    <row r="1807" spans="1:2" x14ac:dyDescent="0.3">
      <c r="A1807" s="2"/>
      <c r="B1807" s="2"/>
    </row>
    <row r="1808" spans="1:2" x14ac:dyDescent="0.3">
      <c r="A1808" s="2"/>
      <c r="B1808" s="2"/>
    </row>
    <row r="1809" spans="1:2" x14ac:dyDescent="0.3">
      <c r="A1809" s="2"/>
      <c r="B1809" s="2"/>
    </row>
    <row r="1810" spans="1:2" x14ac:dyDescent="0.3">
      <c r="A1810" s="2"/>
      <c r="B1810" s="2"/>
    </row>
    <row r="1811" spans="1:2" x14ac:dyDescent="0.3">
      <c r="A1811" s="2"/>
      <c r="B1811" s="2"/>
    </row>
    <row r="1812" spans="1:2" x14ac:dyDescent="0.3">
      <c r="A1812" s="2"/>
      <c r="B1812" s="2"/>
    </row>
    <row r="1813" spans="1:2" x14ac:dyDescent="0.3">
      <c r="A1813" s="2"/>
      <c r="B1813" s="2"/>
    </row>
    <row r="1814" spans="1:2" x14ac:dyDescent="0.3">
      <c r="A1814" s="2"/>
      <c r="B1814" s="2"/>
    </row>
    <row r="1815" spans="1:2" x14ac:dyDescent="0.3">
      <c r="A1815" s="2"/>
      <c r="B1815" s="2"/>
    </row>
    <row r="1816" spans="1:2" x14ac:dyDescent="0.3">
      <c r="A1816" s="2"/>
      <c r="B1816" s="2"/>
    </row>
    <row r="1817" spans="1:2" x14ac:dyDescent="0.3">
      <c r="A1817" s="2"/>
      <c r="B1817" s="2"/>
    </row>
    <row r="1818" spans="1:2" x14ac:dyDescent="0.3">
      <c r="A1818" s="2"/>
      <c r="B1818" s="2"/>
    </row>
    <row r="1819" spans="1:2" x14ac:dyDescent="0.3">
      <c r="A1819" s="2"/>
      <c r="B1819" s="2"/>
    </row>
    <row r="1820" spans="1:2" x14ac:dyDescent="0.3">
      <c r="A1820" s="2"/>
      <c r="B1820" s="2"/>
    </row>
    <row r="1821" spans="1:2" x14ac:dyDescent="0.3">
      <c r="A1821" s="2"/>
      <c r="B1821" s="2"/>
    </row>
    <row r="1822" spans="1:2" x14ac:dyDescent="0.3">
      <c r="A1822" s="2"/>
      <c r="B1822" s="2"/>
    </row>
    <row r="1823" spans="1:2" x14ac:dyDescent="0.3">
      <c r="A1823" s="2"/>
      <c r="B1823" s="2"/>
    </row>
    <row r="1824" spans="1:2" x14ac:dyDescent="0.3">
      <c r="A1824" s="2"/>
      <c r="B1824" s="2"/>
    </row>
    <row r="1825" spans="1:2" x14ac:dyDescent="0.3">
      <c r="A1825" s="2"/>
      <c r="B1825" s="2"/>
    </row>
    <row r="1826" spans="1:2" x14ac:dyDescent="0.3">
      <c r="A1826" s="2"/>
      <c r="B1826" s="2"/>
    </row>
    <row r="1827" spans="1:2" x14ac:dyDescent="0.3">
      <c r="A1827" s="2"/>
      <c r="B1827" s="2"/>
    </row>
    <row r="1828" spans="1:2" x14ac:dyDescent="0.3">
      <c r="A1828" s="2"/>
      <c r="B1828" s="2"/>
    </row>
    <row r="1829" spans="1:2" x14ac:dyDescent="0.3">
      <c r="A1829" s="2"/>
      <c r="B1829" s="2"/>
    </row>
    <row r="1830" spans="1:2" x14ac:dyDescent="0.3">
      <c r="A1830" s="2"/>
      <c r="B1830" s="2"/>
    </row>
    <row r="1831" spans="1:2" x14ac:dyDescent="0.3">
      <c r="A1831" s="2"/>
      <c r="B1831" s="2"/>
    </row>
    <row r="1832" spans="1:2" x14ac:dyDescent="0.3">
      <c r="A1832" s="2"/>
      <c r="B1832" s="2"/>
    </row>
    <row r="1833" spans="1:2" x14ac:dyDescent="0.3">
      <c r="A1833" s="2"/>
      <c r="B1833" s="2"/>
    </row>
    <row r="1834" spans="1:2" x14ac:dyDescent="0.3">
      <c r="A1834" s="2"/>
      <c r="B1834" s="2"/>
    </row>
    <row r="1835" spans="1:2" x14ac:dyDescent="0.3">
      <c r="A1835" s="2"/>
      <c r="B1835" s="2"/>
    </row>
    <row r="1836" spans="1:2" x14ac:dyDescent="0.3">
      <c r="A1836" s="2"/>
      <c r="B1836" s="2"/>
    </row>
    <row r="1837" spans="1:2" x14ac:dyDescent="0.3">
      <c r="A1837" s="2"/>
      <c r="B1837" s="2"/>
    </row>
    <row r="1838" spans="1:2" x14ac:dyDescent="0.3">
      <c r="A1838" s="2"/>
      <c r="B1838" s="2"/>
    </row>
    <row r="1839" spans="1:2" x14ac:dyDescent="0.3">
      <c r="A1839" s="2"/>
      <c r="B1839" s="2"/>
    </row>
    <row r="1840" spans="1:2" x14ac:dyDescent="0.3">
      <c r="A1840" s="2"/>
      <c r="B1840" s="2"/>
    </row>
    <row r="1841" spans="1:2" x14ac:dyDescent="0.3">
      <c r="A1841" s="2"/>
      <c r="B1841" s="2"/>
    </row>
    <row r="1842" spans="1:2" x14ac:dyDescent="0.3">
      <c r="A1842" s="2"/>
      <c r="B1842" s="2"/>
    </row>
    <row r="1843" spans="1:2" x14ac:dyDescent="0.3">
      <c r="A1843" s="2"/>
      <c r="B1843" s="2"/>
    </row>
    <row r="1844" spans="1:2" x14ac:dyDescent="0.3">
      <c r="A1844" s="2"/>
      <c r="B1844" s="2"/>
    </row>
    <row r="1845" spans="1:2" x14ac:dyDescent="0.3">
      <c r="A1845" s="2"/>
      <c r="B1845" s="2"/>
    </row>
    <row r="1846" spans="1:2" x14ac:dyDescent="0.3">
      <c r="A1846" s="2"/>
      <c r="B1846" s="2"/>
    </row>
    <row r="1847" spans="1:2" x14ac:dyDescent="0.3">
      <c r="A1847" s="2"/>
      <c r="B1847" s="2"/>
    </row>
    <row r="1848" spans="1:2" x14ac:dyDescent="0.3">
      <c r="A1848" s="2"/>
      <c r="B1848" s="2"/>
    </row>
    <row r="1849" spans="1:2" x14ac:dyDescent="0.3">
      <c r="A1849" s="2"/>
      <c r="B1849" s="2"/>
    </row>
    <row r="1850" spans="1:2" x14ac:dyDescent="0.3">
      <c r="A1850" s="2"/>
      <c r="B1850" s="2"/>
    </row>
    <row r="1851" spans="1:2" x14ac:dyDescent="0.3">
      <c r="A1851" s="2"/>
      <c r="B1851" s="2"/>
    </row>
    <row r="1852" spans="1:2" x14ac:dyDescent="0.3">
      <c r="A1852" s="2"/>
      <c r="B1852" s="2"/>
    </row>
    <row r="1853" spans="1:2" x14ac:dyDescent="0.3">
      <c r="A1853" s="2"/>
      <c r="B1853" s="2"/>
    </row>
    <row r="1854" spans="1:2" x14ac:dyDescent="0.3">
      <c r="A1854" s="2"/>
      <c r="B1854" s="2"/>
    </row>
    <row r="1855" spans="1:2" x14ac:dyDescent="0.3">
      <c r="A1855" s="2"/>
      <c r="B1855" s="2"/>
    </row>
    <row r="1856" spans="1:2" x14ac:dyDescent="0.3">
      <c r="A1856" s="2"/>
      <c r="B1856" s="2"/>
    </row>
    <row r="1857" spans="1:2" x14ac:dyDescent="0.3">
      <c r="A1857" s="2"/>
      <c r="B1857" s="2"/>
    </row>
    <row r="1858" spans="1:2" x14ac:dyDescent="0.3">
      <c r="A1858" s="2"/>
      <c r="B1858" s="2"/>
    </row>
    <row r="1859" spans="1:2" x14ac:dyDescent="0.3">
      <c r="A1859" s="2"/>
      <c r="B1859" s="2"/>
    </row>
    <row r="1860" spans="1:2" x14ac:dyDescent="0.3">
      <c r="A1860" s="2"/>
      <c r="B1860" s="2"/>
    </row>
    <row r="1861" spans="1:2" x14ac:dyDescent="0.3">
      <c r="A1861" s="2"/>
      <c r="B1861" s="2"/>
    </row>
    <row r="1862" spans="1:2" x14ac:dyDescent="0.3">
      <c r="A1862" s="2"/>
      <c r="B1862" s="2"/>
    </row>
    <row r="1863" spans="1:2" x14ac:dyDescent="0.3">
      <c r="A1863" s="2"/>
      <c r="B1863" s="2"/>
    </row>
    <row r="1864" spans="1:2" x14ac:dyDescent="0.3">
      <c r="A1864" s="2"/>
      <c r="B1864" s="2"/>
    </row>
    <row r="1865" spans="1:2" x14ac:dyDescent="0.3">
      <c r="A1865" s="2"/>
      <c r="B1865" s="2"/>
    </row>
    <row r="1866" spans="1:2" x14ac:dyDescent="0.3">
      <c r="A1866" s="2"/>
      <c r="B1866" s="2"/>
    </row>
    <row r="1867" spans="1:2" x14ac:dyDescent="0.3">
      <c r="A1867" s="2"/>
      <c r="B1867" s="2"/>
    </row>
    <row r="1868" spans="1:2" x14ac:dyDescent="0.3">
      <c r="A1868" s="2"/>
      <c r="B1868" s="2"/>
    </row>
    <row r="1869" spans="1:2" x14ac:dyDescent="0.3">
      <c r="A1869" s="2"/>
      <c r="B1869" s="2"/>
    </row>
    <row r="1870" spans="1:2" x14ac:dyDescent="0.3">
      <c r="A1870" s="2"/>
      <c r="B1870" s="2"/>
    </row>
    <row r="1871" spans="1:2" x14ac:dyDescent="0.3">
      <c r="A1871" s="2"/>
      <c r="B1871" s="2"/>
    </row>
    <row r="1872" spans="1:2" x14ac:dyDescent="0.3">
      <c r="A1872" s="2"/>
      <c r="B1872" s="2"/>
    </row>
    <row r="1873" spans="1:2" x14ac:dyDescent="0.3">
      <c r="A1873" s="2"/>
      <c r="B1873" s="2"/>
    </row>
    <row r="1874" spans="1:2" x14ac:dyDescent="0.3">
      <c r="A1874" s="2"/>
      <c r="B1874" s="2"/>
    </row>
    <row r="1875" spans="1:2" x14ac:dyDescent="0.3">
      <c r="A1875" s="2"/>
      <c r="B1875" s="2"/>
    </row>
    <row r="1876" spans="1:2" x14ac:dyDescent="0.3">
      <c r="A1876" s="2"/>
      <c r="B1876" s="2"/>
    </row>
    <row r="1877" spans="1:2" x14ac:dyDescent="0.3">
      <c r="A1877" s="2"/>
      <c r="B1877" s="2"/>
    </row>
    <row r="1878" spans="1:2" x14ac:dyDescent="0.3">
      <c r="A1878" s="2"/>
      <c r="B1878" s="2"/>
    </row>
    <row r="1879" spans="1:2" x14ac:dyDescent="0.3">
      <c r="A1879" s="2"/>
      <c r="B1879" s="2"/>
    </row>
    <row r="1880" spans="1:2" x14ac:dyDescent="0.3">
      <c r="A1880" s="2"/>
      <c r="B1880" s="2"/>
    </row>
    <row r="1881" spans="1:2" x14ac:dyDescent="0.3">
      <c r="A1881" s="2"/>
      <c r="B1881" s="2"/>
    </row>
    <row r="1882" spans="1:2" x14ac:dyDescent="0.3">
      <c r="A1882" s="2"/>
      <c r="B1882" s="2"/>
    </row>
    <row r="1883" spans="1:2" x14ac:dyDescent="0.3">
      <c r="A1883" s="2"/>
      <c r="B1883" s="2"/>
    </row>
    <row r="1884" spans="1:2" x14ac:dyDescent="0.3">
      <c r="A1884" s="2"/>
      <c r="B1884" s="2"/>
    </row>
    <row r="1885" spans="1:2" x14ac:dyDescent="0.3">
      <c r="A1885" s="2"/>
      <c r="B1885" s="2"/>
    </row>
    <row r="1886" spans="1:2" x14ac:dyDescent="0.3">
      <c r="A1886" s="2"/>
      <c r="B1886" s="2"/>
    </row>
    <row r="1887" spans="1:2" x14ac:dyDescent="0.3">
      <c r="A1887" s="2"/>
      <c r="B1887" s="2"/>
    </row>
    <row r="1888" spans="1:2" x14ac:dyDescent="0.3">
      <c r="A1888" s="2"/>
      <c r="B1888" s="2"/>
    </row>
    <row r="1889" spans="1:2" x14ac:dyDescent="0.3">
      <c r="A1889" s="2"/>
      <c r="B1889" s="2"/>
    </row>
    <row r="1890" spans="1:2" x14ac:dyDescent="0.3">
      <c r="A1890" s="2"/>
      <c r="B1890" s="2"/>
    </row>
    <row r="1891" spans="1:2" x14ac:dyDescent="0.3">
      <c r="A1891" s="2"/>
      <c r="B1891" s="2"/>
    </row>
    <row r="1892" spans="1:2" x14ac:dyDescent="0.3">
      <c r="A1892" s="2"/>
      <c r="B1892" s="2"/>
    </row>
    <row r="1893" spans="1:2" x14ac:dyDescent="0.3">
      <c r="A1893" s="2"/>
      <c r="B1893" s="2"/>
    </row>
    <row r="1894" spans="1:2" x14ac:dyDescent="0.3">
      <c r="A1894" s="2"/>
      <c r="B1894" s="2"/>
    </row>
    <row r="1895" spans="1:2" x14ac:dyDescent="0.3">
      <c r="A1895" s="2"/>
      <c r="B1895" s="2"/>
    </row>
    <row r="1896" spans="1:2" x14ac:dyDescent="0.3">
      <c r="A1896" s="2"/>
      <c r="B1896" s="2"/>
    </row>
    <row r="1897" spans="1:2" x14ac:dyDescent="0.3">
      <c r="A1897" s="2"/>
      <c r="B1897" s="2"/>
    </row>
    <row r="1898" spans="1:2" x14ac:dyDescent="0.3">
      <c r="A1898" s="2"/>
      <c r="B1898" s="2"/>
    </row>
    <row r="1899" spans="1:2" x14ac:dyDescent="0.3">
      <c r="A1899" s="2"/>
      <c r="B1899" s="2"/>
    </row>
    <row r="1900" spans="1:2" x14ac:dyDescent="0.3">
      <c r="A1900" s="2"/>
      <c r="B1900" s="2"/>
    </row>
    <row r="1901" spans="1:2" x14ac:dyDescent="0.3">
      <c r="A1901" s="2"/>
      <c r="B1901" s="2"/>
    </row>
    <row r="1902" spans="1:2" x14ac:dyDescent="0.3">
      <c r="A1902" s="2"/>
      <c r="B1902" s="2"/>
    </row>
    <row r="1903" spans="1:2" x14ac:dyDescent="0.3">
      <c r="A1903" s="2"/>
      <c r="B1903" s="2"/>
    </row>
    <row r="1904" spans="1:2" x14ac:dyDescent="0.3">
      <c r="A1904" s="2"/>
      <c r="B1904" s="2"/>
    </row>
    <row r="1905" spans="1:2" x14ac:dyDescent="0.3">
      <c r="A1905" s="2"/>
      <c r="B1905" s="2"/>
    </row>
    <row r="1906" spans="1:2" x14ac:dyDescent="0.3">
      <c r="A1906" s="2"/>
      <c r="B1906" s="2"/>
    </row>
    <row r="1907" spans="1:2" x14ac:dyDescent="0.3">
      <c r="A1907" s="2"/>
      <c r="B1907" s="2"/>
    </row>
    <row r="1908" spans="1:2" x14ac:dyDescent="0.3">
      <c r="A1908" s="2"/>
      <c r="B1908" s="2"/>
    </row>
    <row r="1909" spans="1:2" x14ac:dyDescent="0.3">
      <c r="A1909" s="2"/>
      <c r="B1909" s="2"/>
    </row>
    <row r="1910" spans="1:2" x14ac:dyDescent="0.3">
      <c r="A1910" s="2"/>
      <c r="B1910" s="2"/>
    </row>
    <row r="1911" spans="1:2" x14ac:dyDescent="0.3">
      <c r="A1911" s="2"/>
      <c r="B1911" s="2"/>
    </row>
    <row r="1912" spans="1:2" x14ac:dyDescent="0.3">
      <c r="A1912" s="2"/>
      <c r="B1912" s="2"/>
    </row>
    <row r="1913" spans="1:2" x14ac:dyDescent="0.3">
      <c r="A1913" s="2"/>
      <c r="B1913" s="2"/>
    </row>
    <row r="1914" spans="1:2" x14ac:dyDescent="0.3">
      <c r="A1914" s="2"/>
      <c r="B1914" s="2"/>
    </row>
    <row r="1915" spans="1:2" x14ac:dyDescent="0.3">
      <c r="A1915" s="2"/>
      <c r="B1915" s="2"/>
    </row>
    <row r="1916" spans="1:2" x14ac:dyDescent="0.3">
      <c r="A1916" s="2"/>
      <c r="B1916" s="2"/>
    </row>
    <row r="1917" spans="1:2" x14ac:dyDescent="0.3">
      <c r="A1917" s="2"/>
      <c r="B1917" s="2"/>
    </row>
    <row r="1918" spans="1:2" x14ac:dyDescent="0.3">
      <c r="A1918" s="2"/>
      <c r="B1918" s="2"/>
    </row>
    <row r="1919" spans="1:2" x14ac:dyDescent="0.3">
      <c r="A1919" s="2"/>
      <c r="B1919" s="2"/>
    </row>
    <row r="1920" spans="1:2" x14ac:dyDescent="0.3">
      <c r="A1920" s="2"/>
      <c r="B1920" s="2"/>
    </row>
    <row r="1921" spans="1:2" x14ac:dyDescent="0.3">
      <c r="A1921" s="2"/>
      <c r="B1921" s="2"/>
    </row>
    <row r="1922" spans="1:2" x14ac:dyDescent="0.3">
      <c r="A1922" s="2"/>
      <c r="B1922" s="2"/>
    </row>
    <row r="1923" spans="1:2" x14ac:dyDescent="0.3">
      <c r="A1923" s="2"/>
      <c r="B1923" s="2"/>
    </row>
    <row r="1924" spans="1:2" x14ac:dyDescent="0.3">
      <c r="A1924" s="2"/>
      <c r="B1924" s="2"/>
    </row>
    <row r="1925" spans="1:2" x14ac:dyDescent="0.3">
      <c r="A1925" s="2"/>
      <c r="B1925" s="2"/>
    </row>
    <row r="1926" spans="1:2" x14ac:dyDescent="0.3">
      <c r="A1926" s="2"/>
      <c r="B1926" s="2"/>
    </row>
    <row r="1927" spans="1:2" x14ac:dyDescent="0.3">
      <c r="A1927" s="2"/>
      <c r="B1927" s="2"/>
    </row>
    <row r="1928" spans="1:2" x14ac:dyDescent="0.3">
      <c r="A1928" s="2"/>
      <c r="B1928" s="2"/>
    </row>
    <row r="1929" spans="1:2" x14ac:dyDescent="0.3">
      <c r="A1929" s="2"/>
      <c r="B1929" s="2"/>
    </row>
    <row r="1930" spans="1:2" x14ac:dyDescent="0.3">
      <c r="A1930" s="2"/>
      <c r="B1930" s="2"/>
    </row>
    <row r="1931" spans="1:2" x14ac:dyDescent="0.3">
      <c r="A1931" s="2"/>
      <c r="B1931" s="2"/>
    </row>
    <row r="1932" spans="1:2" x14ac:dyDescent="0.3">
      <c r="A1932" s="2"/>
      <c r="B1932" s="2"/>
    </row>
    <row r="1933" spans="1:2" x14ac:dyDescent="0.3">
      <c r="A1933" s="2"/>
      <c r="B1933" s="2"/>
    </row>
    <row r="1934" spans="1:2" x14ac:dyDescent="0.3">
      <c r="A1934" s="2"/>
      <c r="B1934" s="2"/>
    </row>
    <row r="1935" spans="1:2" x14ac:dyDescent="0.3">
      <c r="A1935" s="2"/>
      <c r="B1935" s="2"/>
    </row>
    <row r="1936" spans="1:2" x14ac:dyDescent="0.3">
      <c r="A1936" s="2"/>
      <c r="B1936" s="2"/>
    </row>
    <row r="1937" spans="1:2" x14ac:dyDescent="0.3">
      <c r="A1937" s="2"/>
      <c r="B1937" s="2"/>
    </row>
    <row r="1938" spans="1:2" x14ac:dyDescent="0.3">
      <c r="A1938" s="2"/>
      <c r="B1938" s="2"/>
    </row>
    <row r="1939" spans="1:2" x14ac:dyDescent="0.3">
      <c r="A1939" s="2"/>
      <c r="B1939" s="2"/>
    </row>
    <row r="1940" spans="1:2" x14ac:dyDescent="0.3">
      <c r="A1940" s="2"/>
      <c r="B1940" s="2"/>
    </row>
    <row r="1941" spans="1:2" x14ac:dyDescent="0.3">
      <c r="A1941" s="2"/>
      <c r="B1941" s="2"/>
    </row>
    <row r="1942" spans="1:2" x14ac:dyDescent="0.3">
      <c r="A1942" s="2"/>
      <c r="B1942" s="2"/>
    </row>
    <row r="1943" spans="1:2" x14ac:dyDescent="0.3">
      <c r="A1943" s="2"/>
      <c r="B1943" s="2"/>
    </row>
    <row r="1944" spans="1:2" x14ac:dyDescent="0.3">
      <c r="A1944" s="2"/>
      <c r="B1944" s="2"/>
    </row>
    <row r="1945" spans="1:2" x14ac:dyDescent="0.3">
      <c r="A1945" s="2"/>
      <c r="B1945" s="2"/>
    </row>
    <row r="1946" spans="1:2" x14ac:dyDescent="0.3">
      <c r="A1946" s="2"/>
      <c r="B1946" s="2"/>
    </row>
    <row r="1947" spans="1:2" x14ac:dyDescent="0.3">
      <c r="A1947" s="2"/>
      <c r="B1947" s="2"/>
    </row>
    <row r="1948" spans="1:2" x14ac:dyDescent="0.3">
      <c r="A1948" s="2"/>
      <c r="B1948" s="2"/>
    </row>
    <row r="1949" spans="1:2" x14ac:dyDescent="0.3">
      <c r="A1949" s="2"/>
      <c r="B1949" s="2"/>
    </row>
    <row r="1950" spans="1:2" x14ac:dyDescent="0.3">
      <c r="A1950" s="2"/>
      <c r="B1950" s="2"/>
    </row>
    <row r="1951" spans="1:2" x14ac:dyDescent="0.3">
      <c r="A1951" s="2"/>
      <c r="B1951" s="2"/>
    </row>
    <row r="1952" spans="1:2" x14ac:dyDescent="0.3">
      <c r="A1952" s="2"/>
      <c r="B1952" s="2"/>
    </row>
    <row r="1953" spans="1:2" x14ac:dyDescent="0.3">
      <c r="A1953" s="2"/>
      <c r="B1953" s="2"/>
    </row>
    <row r="1954" spans="1:2" x14ac:dyDescent="0.3">
      <c r="A1954" s="2"/>
      <c r="B1954" s="2"/>
    </row>
    <row r="1955" spans="1:2" x14ac:dyDescent="0.3">
      <c r="A1955" s="2"/>
      <c r="B1955" s="2"/>
    </row>
    <row r="1956" spans="1:2" x14ac:dyDescent="0.3">
      <c r="A1956" s="2"/>
      <c r="B1956" s="2"/>
    </row>
    <row r="1957" spans="1:2" x14ac:dyDescent="0.3">
      <c r="A1957" s="2"/>
      <c r="B1957" s="2"/>
    </row>
    <row r="1958" spans="1:2" x14ac:dyDescent="0.3">
      <c r="A1958" s="2"/>
      <c r="B1958" s="2"/>
    </row>
    <row r="1959" spans="1:2" x14ac:dyDescent="0.3">
      <c r="A1959" s="2"/>
      <c r="B1959" s="2"/>
    </row>
    <row r="1960" spans="1:2" x14ac:dyDescent="0.3">
      <c r="A1960" s="2"/>
      <c r="B1960" s="2"/>
    </row>
    <row r="1961" spans="1:2" x14ac:dyDescent="0.3">
      <c r="A1961" s="2"/>
      <c r="B1961" s="2"/>
    </row>
    <row r="1962" spans="1:2" x14ac:dyDescent="0.3">
      <c r="A1962" s="2"/>
      <c r="B1962" s="2"/>
    </row>
    <row r="1963" spans="1:2" x14ac:dyDescent="0.3">
      <c r="A1963" s="2"/>
      <c r="B1963" s="2"/>
    </row>
    <row r="1964" spans="1:2" x14ac:dyDescent="0.3">
      <c r="A1964" s="2"/>
      <c r="B1964" s="2"/>
    </row>
    <row r="1965" spans="1:2" x14ac:dyDescent="0.3">
      <c r="A1965" s="2"/>
      <c r="B1965" s="2"/>
    </row>
    <row r="1966" spans="1:2" x14ac:dyDescent="0.3">
      <c r="A1966" s="2"/>
      <c r="B1966" s="2"/>
    </row>
    <row r="1967" spans="1:2" x14ac:dyDescent="0.3">
      <c r="A1967" s="2"/>
      <c r="B1967" s="2"/>
    </row>
    <row r="1968" spans="1:2" x14ac:dyDescent="0.3">
      <c r="A1968" s="2"/>
      <c r="B1968" s="2"/>
    </row>
    <row r="1969" spans="1:2" x14ac:dyDescent="0.3">
      <c r="A1969" s="2"/>
      <c r="B1969" s="2"/>
    </row>
    <row r="1970" spans="1:2" x14ac:dyDescent="0.3">
      <c r="A1970" s="2"/>
      <c r="B1970" s="2"/>
    </row>
    <row r="1971" spans="1:2" x14ac:dyDescent="0.3">
      <c r="A1971" s="2"/>
      <c r="B1971" s="2"/>
    </row>
    <row r="1972" spans="1:2" x14ac:dyDescent="0.3">
      <c r="A1972" s="2"/>
      <c r="B1972" s="2"/>
    </row>
    <row r="1973" spans="1:2" x14ac:dyDescent="0.3">
      <c r="A1973" s="2"/>
      <c r="B1973" s="2"/>
    </row>
    <row r="1974" spans="1:2" x14ac:dyDescent="0.3">
      <c r="A1974" s="2"/>
      <c r="B1974" s="2"/>
    </row>
    <row r="1975" spans="1:2" x14ac:dyDescent="0.3">
      <c r="A1975" s="2"/>
      <c r="B1975" s="2"/>
    </row>
    <row r="1976" spans="1:2" x14ac:dyDescent="0.3">
      <c r="A1976" s="2"/>
      <c r="B1976" s="2"/>
    </row>
    <row r="1977" spans="1:2" x14ac:dyDescent="0.3">
      <c r="A1977" s="2"/>
      <c r="B1977" s="2"/>
    </row>
    <row r="1978" spans="1:2" x14ac:dyDescent="0.3">
      <c r="A1978" s="2"/>
      <c r="B1978" s="2"/>
    </row>
    <row r="1979" spans="1:2" x14ac:dyDescent="0.3">
      <c r="A1979" s="2"/>
      <c r="B1979" s="2"/>
    </row>
    <row r="1980" spans="1:2" x14ac:dyDescent="0.3">
      <c r="A1980" s="2"/>
      <c r="B1980" s="2"/>
    </row>
    <row r="1981" spans="1:2" x14ac:dyDescent="0.3">
      <c r="A1981" s="2"/>
      <c r="B1981" s="2"/>
    </row>
    <row r="1982" spans="1:2" x14ac:dyDescent="0.3">
      <c r="A1982" s="2"/>
      <c r="B1982" s="2"/>
    </row>
    <row r="1983" spans="1:2" x14ac:dyDescent="0.3">
      <c r="A1983" s="2"/>
      <c r="B1983" s="2"/>
    </row>
    <row r="1984" spans="1:2" x14ac:dyDescent="0.3">
      <c r="A1984" s="2"/>
      <c r="B1984" s="2"/>
    </row>
    <row r="1985" spans="1:2" x14ac:dyDescent="0.3">
      <c r="A1985" s="2"/>
      <c r="B1985" s="2"/>
    </row>
    <row r="1986" spans="1:2" x14ac:dyDescent="0.3">
      <c r="A1986" s="2"/>
      <c r="B1986" s="2"/>
    </row>
    <row r="1987" spans="1:2" x14ac:dyDescent="0.3">
      <c r="A1987" s="2"/>
      <c r="B1987" s="2"/>
    </row>
    <row r="1988" spans="1:2" x14ac:dyDescent="0.3">
      <c r="A1988" s="2"/>
      <c r="B1988" s="2"/>
    </row>
    <row r="1989" spans="1:2" x14ac:dyDescent="0.3">
      <c r="A1989" s="2"/>
      <c r="B1989" s="2"/>
    </row>
    <row r="1990" spans="1:2" x14ac:dyDescent="0.3">
      <c r="A1990" s="2"/>
      <c r="B1990" s="2"/>
    </row>
    <row r="1991" spans="1:2" x14ac:dyDescent="0.3">
      <c r="A1991" s="2"/>
      <c r="B1991" s="2"/>
    </row>
    <row r="1992" spans="1:2" x14ac:dyDescent="0.3">
      <c r="A1992" s="2"/>
      <c r="B1992" s="2"/>
    </row>
    <row r="1993" spans="1:2" x14ac:dyDescent="0.3">
      <c r="A1993" s="2"/>
      <c r="B1993" s="2"/>
    </row>
    <row r="1994" spans="1:2" x14ac:dyDescent="0.3">
      <c r="A1994" s="2"/>
      <c r="B1994" s="2"/>
    </row>
    <row r="1995" spans="1:2" x14ac:dyDescent="0.3">
      <c r="A1995" s="2"/>
      <c r="B1995" s="2"/>
    </row>
    <row r="1996" spans="1:2" x14ac:dyDescent="0.3">
      <c r="A1996" s="2"/>
      <c r="B1996" s="2"/>
    </row>
    <row r="1997" spans="1:2" x14ac:dyDescent="0.3">
      <c r="A1997" s="2"/>
      <c r="B1997" s="2"/>
    </row>
    <row r="1998" spans="1:2" x14ac:dyDescent="0.3">
      <c r="A1998" s="2"/>
      <c r="B1998" s="2"/>
    </row>
    <row r="1999" spans="1:2" x14ac:dyDescent="0.3">
      <c r="A1999" s="2"/>
      <c r="B1999" s="2"/>
    </row>
    <row r="2000" spans="1:2" x14ac:dyDescent="0.3">
      <c r="A2000" s="2"/>
      <c r="B2000" s="2"/>
    </row>
    <row r="2001" spans="1:2" x14ac:dyDescent="0.3">
      <c r="A2001" s="2"/>
      <c r="B2001" s="2"/>
    </row>
    <row r="2002" spans="1:2" x14ac:dyDescent="0.3">
      <c r="A2002" s="2"/>
      <c r="B2002" s="2"/>
    </row>
    <row r="2003" spans="1:2" x14ac:dyDescent="0.3">
      <c r="A2003" s="2"/>
      <c r="B2003" s="2"/>
    </row>
    <row r="2004" spans="1:2" x14ac:dyDescent="0.3">
      <c r="A2004" s="2"/>
      <c r="B2004" s="2"/>
    </row>
    <row r="2005" spans="1:2" x14ac:dyDescent="0.3">
      <c r="A2005" s="2"/>
      <c r="B2005" s="2"/>
    </row>
    <row r="2006" spans="1:2" x14ac:dyDescent="0.3">
      <c r="A2006" s="2"/>
      <c r="B2006" s="2"/>
    </row>
    <row r="2007" spans="1:2" x14ac:dyDescent="0.3">
      <c r="A2007" s="2"/>
      <c r="B2007" s="2"/>
    </row>
    <row r="2008" spans="1:2" x14ac:dyDescent="0.3">
      <c r="A2008" s="2"/>
      <c r="B2008" s="2"/>
    </row>
    <row r="2009" spans="1:2" x14ac:dyDescent="0.3">
      <c r="A2009" s="2"/>
      <c r="B2009" s="2"/>
    </row>
    <row r="2010" spans="1:2" x14ac:dyDescent="0.3">
      <c r="A2010" s="2"/>
      <c r="B2010" s="2"/>
    </row>
    <row r="2011" spans="1:2" x14ac:dyDescent="0.3">
      <c r="A2011" s="2"/>
      <c r="B2011" s="2"/>
    </row>
    <row r="2012" spans="1:2" x14ac:dyDescent="0.3">
      <c r="A2012" s="2"/>
      <c r="B2012" s="2"/>
    </row>
    <row r="2013" spans="1:2" x14ac:dyDescent="0.3">
      <c r="A2013" s="2"/>
      <c r="B2013" s="2"/>
    </row>
    <row r="2014" spans="1:2" x14ac:dyDescent="0.3">
      <c r="A2014" s="2"/>
      <c r="B2014" s="2"/>
    </row>
    <row r="2015" spans="1:2" x14ac:dyDescent="0.3">
      <c r="A2015" s="2"/>
      <c r="B2015" s="2"/>
    </row>
    <row r="2016" spans="1:2" x14ac:dyDescent="0.3">
      <c r="A2016" s="2"/>
      <c r="B2016" s="2"/>
    </row>
    <row r="2017" spans="1:2" x14ac:dyDescent="0.3">
      <c r="A2017" s="2"/>
      <c r="B2017" s="2"/>
    </row>
    <row r="2018" spans="1:2" x14ac:dyDescent="0.3">
      <c r="A2018" s="2"/>
      <c r="B2018" s="2"/>
    </row>
    <row r="2019" spans="1:2" x14ac:dyDescent="0.3">
      <c r="A2019" s="2"/>
      <c r="B2019" s="2"/>
    </row>
    <row r="2020" spans="1:2" x14ac:dyDescent="0.3">
      <c r="A2020" s="2"/>
      <c r="B2020" s="2"/>
    </row>
    <row r="2021" spans="1:2" x14ac:dyDescent="0.3">
      <c r="A2021" s="2"/>
      <c r="B2021" s="2"/>
    </row>
    <row r="2022" spans="1:2" x14ac:dyDescent="0.3">
      <c r="A2022" s="2"/>
      <c r="B2022" s="2"/>
    </row>
    <row r="2023" spans="1:2" x14ac:dyDescent="0.3">
      <c r="A2023" s="2"/>
      <c r="B2023" s="2"/>
    </row>
    <row r="2024" spans="1:2" x14ac:dyDescent="0.3">
      <c r="A2024" s="2"/>
      <c r="B2024" s="2"/>
    </row>
    <row r="2025" spans="1:2" x14ac:dyDescent="0.3">
      <c r="A2025" s="2"/>
      <c r="B2025" s="2"/>
    </row>
    <row r="2026" spans="1:2" x14ac:dyDescent="0.3">
      <c r="A2026" s="2"/>
      <c r="B2026" s="2"/>
    </row>
    <row r="2027" spans="1:2" x14ac:dyDescent="0.3">
      <c r="A2027" s="2"/>
      <c r="B2027" s="2"/>
    </row>
    <row r="2028" spans="1:2" x14ac:dyDescent="0.3">
      <c r="A2028" s="2"/>
      <c r="B2028" s="2"/>
    </row>
    <row r="2029" spans="1:2" x14ac:dyDescent="0.3">
      <c r="A2029" s="2"/>
      <c r="B2029" s="2"/>
    </row>
    <row r="2030" spans="1:2" x14ac:dyDescent="0.3">
      <c r="A2030" s="2"/>
      <c r="B2030" s="2"/>
    </row>
    <row r="2031" spans="1:2" x14ac:dyDescent="0.3">
      <c r="A2031" s="2"/>
      <c r="B2031" s="2"/>
    </row>
    <row r="2032" spans="1:2" x14ac:dyDescent="0.3">
      <c r="A2032" s="2"/>
      <c r="B2032" s="2"/>
    </row>
    <row r="2033" spans="1:2" x14ac:dyDescent="0.3">
      <c r="A2033" s="2"/>
      <c r="B2033" s="2"/>
    </row>
    <row r="2034" spans="1:2" x14ac:dyDescent="0.3">
      <c r="A2034" s="2"/>
      <c r="B2034" s="2"/>
    </row>
    <row r="2035" spans="1:2" x14ac:dyDescent="0.3">
      <c r="A2035" s="2"/>
      <c r="B2035" s="2"/>
    </row>
    <row r="2036" spans="1:2" x14ac:dyDescent="0.3">
      <c r="A2036" s="2"/>
      <c r="B2036" s="2"/>
    </row>
    <row r="2037" spans="1:2" x14ac:dyDescent="0.3">
      <c r="A2037" s="2"/>
      <c r="B2037" s="2"/>
    </row>
    <row r="2038" spans="1:2" x14ac:dyDescent="0.3">
      <c r="A2038" s="2"/>
      <c r="B2038" s="2"/>
    </row>
    <row r="2039" spans="1:2" x14ac:dyDescent="0.3">
      <c r="A2039" s="2"/>
      <c r="B2039" s="2"/>
    </row>
    <row r="2040" spans="1:2" x14ac:dyDescent="0.3">
      <c r="A2040" s="2"/>
      <c r="B2040" s="2"/>
    </row>
    <row r="2041" spans="1:2" x14ac:dyDescent="0.3">
      <c r="A2041" s="2"/>
      <c r="B2041" s="2"/>
    </row>
    <row r="2042" spans="1:2" x14ac:dyDescent="0.3">
      <c r="A2042" s="2"/>
      <c r="B2042" s="2"/>
    </row>
    <row r="2043" spans="1:2" x14ac:dyDescent="0.3">
      <c r="A2043" s="2"/>
      <c r="B2043" s="2"/>
    </row>
    <row r="2044" spans="1:2" x14ac:dyDescent="0.3">
      <c r="A2044" s="2"/>
      <c r="B2044" s="2"/>
    </row>
    <row r="2045" spans="1:2" x14ac:dyDescent="0.3">
      <c r="A2045" s="2"/>
      <c r="B2045" s="2"/>
    </row>
    <row r="2046" spans="1:2" x14ac:dyDescent="0.3">
      <c r="A2046" s="2"/>
      <c r="B2046" s="2"/>
    </row>
    <row r="2047" spans="1:2" x14ac:dyDescent="0.3">
      <c r="A2047" s="2"/>
      <c r="B2047" s="2"/>
    </row>
    <row r="2048" spans="1:2" x14ac:dyDescent="0.3">
      <c r="A2048" s="2"/>
      <c r="B2048" s="2"/>
    </row>
    <row r="2049" spans="1:2" x14ac:dyDescent="0.3">
      <c r="A2049" s="2"/>
      <c r="B2049" s="2"/>
    </row>
    <row r="2050" spans="1:2" x14ac:dyDescent="0.3">
      <c r="A2050" s="2"/>
      <c r="B2050" s="2"/>
    </row>
    <row r="2051" spans="1:2" x14ac:dyDescent="0.3">
      <c r="A2051" s="2"/>
      <c r="B2051" s="2"/>
    </row>
    <row r="2052" spans="1:2" x14ac:dyDescent="0.3">
      <c r="A2052" s="2"/>
      <c r="B2052" s="2"/>
    </row>
    <row r="2053" spans="1:2" x14ac:dyDescent="0.3">
      <c r="A2053" s="2"/>
      <c r="B2053" s="2"/>
    </row>
    <row r="2054" spans="1:2" x14ac:dyDescent="0.3">
      <c r="A2054" s="2"/>
      <c r="B2054" s="2"/>
    </row>
    <row r="2055" spans="1:2" x14ac:dyDescent="0.3">
      <c r="A2055" s="2"/>
      <c r="B2055" s="2"/>
    </row>
    <row r="2056" spans="1:2" x14ac:dyDescent="0.3">
      <c r="A2056" s="2"/>
      <c r="B2056" s="2"/>
    </row>
    <row r="2057" spans="1:2" x14ac:dyDescent="0.3">
      <c r="A2057" s="2"/>
      <c r="B2057" s="2"/>
    </row>
    <row r="2058" spans="1:2" x14ac:dyDescent="0.3">
      <c r="A2058" s="2"/>
      <c r="B2058" s="2"/>
    </row>
    <row r="2059" spans="1:2" x14ac:dyDescent="0.3">
      <c r="A2059" s="2"/>
      <c r="B2059" s="2"/>
    </row>
    <row r="2060" spans="1:2" x14ac:dyDescent="0.3">
      <c r="A2060" s="2"/>
      <c r="B2060" s="2"/>
    </row>
    <row r="2061" spans="1:2" x14ac:dyDescent="0.3">
      <c r="A2061" s="2"/>
      <c r="B2061" s="2"/>
    </row>
    <row r="2062" spans="1:2" x14ac:dyDescent="0.3">
      <c r="A2062" s="2"/>
      <c r="B2062" s="2"/>
    </row>
    <row r="2063" spans="1:2" x14ac:dyDescent="0.3">
      <c r="A2063" s="2"/>
      <c r="B2063" s="2"/>
    </row>
    <row r="2064" spans="1:2" x14ac:dyDescent="0.3">
      <c r="A2064" s="2"/>
      <c r="B2064" s="2"/>
    </row>
    <row r="2065" spans="1:2" x14ac:dyDescent="0.3">
      <c r="A2065" s="2"/>
      <c r="B2065" s="2"/>
    </row>
    <row r="2066" spans="1:2" x14ac:dyDescent="0.3">
      <c r="A2066" s="2"/>
      <c r="B2066" s="2"/>
    </row>
    <row r="2067" spans="1:2" x14ac:dyDescent="0.3">
      <c r="A2067" s="2"/>
      <c r="B2067" s="2"/>
    </row>
    <row r="2068" spans="1:2" x14ac:dyDescent="0.3">
      <c r="A2068" s="2"/>
      <c r="B2068" s="2"/>
    </row>
    <row r="2069" spans="1:2" x14ac:dyDescent="0.3">
      <c r="A2069" s="2"/>
      <c r="B2069" s="2"/>
    </row>
    <row r="2070" spans="1:2" x14ac:dyDescent="0.3">
      <c r="A2070" s="2"/>
      <c r="B2070" s="2"/>
    </row>
    <row r="2071" spans="1:2" x14ac:dyDescent="0.3">
      <c r="A2071" s="2"/>
      <c r="B2071" s="2"/>
    </row>
    <row r="2072" spans="1:2" x14ac:dyDescent="0.3">
      <c r="A2072" s="2"/>
      <c r="B2072" s="2"/>
    </row>
    <row r="2073" spans="1:2" x14ac:dyDescent="0.3">
      <c r="A2073" s="2"/>
      <c r="B2073" s="2"/>
    </row>
    <row r="2074" spans="1:2" x14ac:dyDescent="0.3">
      <c r="A2074" s="2"/>
      <c r="B2074" s="2"/>
    </row>
    <row r="2075" spans="1:2" x14ac:dyDescent="0.3">
      <c r="A2075" s="2"/>
      <c r="B2075" s="2"/>
    </row>
    <row r="2076" spans="1:2" x14ac:dyDescent="0.3">
      <c r="A2076" s="2"/>
      <c r="B2076" s="2"/>
    </row>
    <row r="2077" spans="1:2" x14ac:dyDescent="0.3">
      <c r="A2077" s="2"/>
      <c r="B2077" s="2"/>
    </row>
    <row r="2078" spans="1:2" x14ac:dyDescent="0.3">
      <c r="A2078" s="2"/>
      <c r="B2078" s="2"/>
    </row>
    <row r="2079" spans="1:2" x14ac:dyDescent="0.3">
      <c r="A2079" s="2"/>
      <c r="B2079" s="2"/>
    </row>
    <row r="2080" spans="1:2" x14ac:dyDescent="0.3">
      <c r="A2080" s="2"/>
      <c r="B2080" s="2"/>
    </row>
    <row r="2081" spans="1:2" x14ac:dyDescent="0.3">
      <c r="A2081" s="2"/>
      <c r="B2081" s="2"/>
    </row>
    <row r="2082" spans="1:2" x14ac:dyDescent="0.3">
      <c r="A2082" s="2"/>
      <c r="B2082" s="2"/>
    </row>
    <row r="2083" spans="1:2" x14ac:dyDescent="0.3">
      <c r="A2083" s="2"/>
      <c r="B2083" s="2"/>
    </row>
    <row r="2084" spans="1:2" x14ac:dyDescent="0.3">
      <c r="A2084" s="2"/>
      <c r="B2084" s="2"/>
    </row>
    <row r="2085" spans="1:2" x14ac:dyDescent="0.3">
      <c r="A2085" s="2"/>
      <c r="B2085" s="2"/>
    </row>
    <row r="2086" spans="1:2" x14ac:dyDescent="0.3">
      <c r="A2086" s="2"/>
      <c r="B2086" s="2"/>
    </row>
    <row r="2087" spans="1:2" x14ac:dyDescent="0.3">
      <c r="A2087" s="2"/>
      <c r="B2087" s="2"/>
    </row>
    <row r="2088" spans="1:2" x14ac:dyDescent="0.3">
      <c r="A2088" s="2"/>
      <c r="B2088" s="2"/>
    </row>
    <row r="2089" spans="1:2" x14ac:dyDescent="0.3">
      <c r="A2089" s="2"/>
      <c r="B2089" s="2"/>
    </row>
    <row r="2090" spans="1:2" x14ac:dyDescent="0.3">
      <c r="A2090" s="2"/>
      <c r="B2090" s="2"/>
    </row>
    <row r="2091" spans="1:2" x14ac:dyDescent="0.3">
      <c r="A2091" s="2"/>
      <c r="B2091" s="2"/>
    </row>
    <row r="2092" spans="1:2" x14ac:dyDescent="0.3">
      <c r="A2092" s="2"/>
      <c r="B2092" s="2"/>
    </row>
    <row r="2093" spans="1:2" x14ac:dyDescent="0.3">
      <c r="A2093" s="2"/>
      <c r="B2093" s="2"/>
    </row>
    <row r="2094" spans="1:2" x14ac:dyDescent="0.3">
      <c r="A2094" s="2"/>
      <c r="B2094" s="2"/>
    </row>
    <row r="2095" spans="1:2" x14ac:dyDescent="0.3">
      <c r="A2095" s="2"/>
      <c r="B2095" s="2"/>
    </row>
    <row r="2096" spans="1:2" x14ac:dyDescent="0.3">
      <c r="A2096" s="2"/>
      <c r="B2096" s="2"/>
    </row>
    <row r="2097" spans="1:2" x14ac:dyDescent="0.3">
      <c r="A2097" s="2"/>
      <c r="B2097" s="2"/>
    </row>
    <row r="2098" spans="1:2" x14ac:dyDescent="0.3">
      <c r="A2098" s="2"/>
      <c r="B2098" s="2"/>
    </row>
    <row r="2099" spans="1:2" x14ac:dyDescent="0.3">
      <c r="A2099" s="2"/>
      <c r="B2099" s="2"/>
    </row>
    <row r="2100" spans="1:2" x14ac:dyDescent="0.3">
      <c r="A2100" s="2"/>
      <c r="B2100" s="2"/>
    </row>
    <row r="2101" spans="1:2" x14ac:dyDescent="0.3">
      <c r="A2101" s="2"/>
      <c r="B2101" s="2"/>
    </row>
    <row r="2102" spans="1:2" x14ac:dyDescent="0.3">
      <c r="A2102" s="2"/>
      <c r="B2102" s="2"/>
    </row>
    <row r="2103" spans="1:2" x14ac:dyDescent="0.3">
      <c r="A2103" s="2"/>
      <c r="B2103" s="2"/>
    </row>
    <row r="2104" spans="1:2" x14ac:dyDescent="0.3">
      <c r="A2104" s="2"/>
      <c r="B2104" s="2"/>
    </row>
    <row r="2105" spans="1:2" x14ac:dyDescent="0.3">
      <c r="A2105" s="2"/>
      <c r="B2105" s="2"/>
    </row>
    <row r="2106" spans="1:2" x14ac:dyDescent="0.3">
      <c r="A2106" s="2"/>
      <c r="B2106" s="2"/>
    </row>
    <row r="2107" spans="1:2" x14ac:dyDescent="0.3">
      <c r="A2107" s="2"/>
      <c r="B2107" s="2"/>
    </row>
    <row r="2108" spans="1:2" x14ac:dyDescent="0.3">
      <c r="A2108" s="2"/>
      <c r="B2108" s="2"/>
    </row>
    <row r="2109" spans="1:2" x14ac:dyDescent="0.3">
      <c r="A2109" s="2"/>
      <c r="B2109" s="2"/>
    </row>
    <row r="2110" spans="1:2" x14ac:dyDescent="0.3">
      <c r="A2110" s="2"/>
      <c r="B2110" s="2"/>
    </row>
    <row r="2111" spans="1:2" x14ac:dyDescent="0.3">
      <c r="A2111" s="2"/>
      <c r="B2111" s="2"/>
    </row>
    <row r="2112" spans="1:2" x14ac:dyDescent="0.3">
      <c r="A2112" s="2"/>
      <c r="B2112" s="2"/>
    </row>
    <row r="2113" spans="1:2" x14ac:dyDescent="0.3">
      <c r="A2113" s="2"/>
      <c r="B2113" s="2"/>
    </row>
    <row r="2114" spans="1:2" x14ac:dyDescent="0.3">
      <c r="A2114" s="2"/>
      <c r="B2114" s="2"/>
    </row>
    <row r="2115" spans="1:2" x14ac:dyDescent="0.3">
      <c r="A2115" s="2"/>
      <c r="B2115" s="2"/>
    </row>
    <row r="2116" spans="1:2" x14ac:dyDescent="0.3">
      <c r="A2116" s="2"/>
      <c r="B2116" s="2"/>
    </row>
    <row r="2117" spans="1:2" x14ac:dyDescent="0.3">
      <c r="A2117" s="2"/>
      <c r="B2117" s="2"/>
    </row>
    <row r="2118" spans="1:2" x14ac:dyDescent="0.3">
      <c r="A2118" s="2"/>
      <c r="B2118" s="2"/>
    </row>
    <row r="2119" spans="1:2" x14ac:dyDescent="0.3">
      <c r="A2119" s="2"/>
      <c r="B2119" s="2"/>
    </row>
    <row r="2120" spans="1:2" x14ac:dyDescent="0.3">
      <c r="A2120" s="2"/>
      <c r="B2120" s="2"/>
    </row>
    <row r="2121" spans="1:2" x14ac:dyDescent="0.3">
      <c r="A2121" s="2"/>
      <c r="B2121" s="2"/>
    </row>
    <row r="2122" spans="1:2" x14ac:dyDescent="0.3">
      <c r="A2122" s="2"/>
      <c r="B2122" s="2"/>
    </row>
    <row r="2123" spans="1:2" x14ac:dyDescent="0.3">
      <c r="A2123" s="2"/>
      <c r="B2123" s="2"/>
    </row>
    <row r="2124" spans="1:2" x14ac:dyDescent="0.3">
      <c r="A2124" s="2"/>
      <c r="B2124" s="2"/>
    </row>
    <row r="2125" spans="1:2" x14ac:dyDescent="0.3">
      <c r="A2125" s="2"/>
      <c r="B2125" s="2"/>
    </row>
    <row r="2126" spans="1:2" x14ac:dyDescent="0.3">
      <c r="A2126" s="2"/>
      <c r="B2126" s="2"/>
    </row>
    <row r="2127" spans="1:2" x14ac:dyDescent="0.3">
      <c r="A2127" s="2"/>
      <c r="B2127" s="2"/>
    </row>
    <row r="2128" spans="1:2" x14ac:dyDescent="0.3">
      <c r="A2128" s="2"/>
      <c r="B2128" s="2"/>
    </row>
    <row r="2129" spans="1:2" x14ac:dyDescent="0.3">
      <c r="A2129" s="2"/>
      <c r="B2129" s="2"/>
    </row>
    <row r="2130" spans="1:2" x14ac:dyDescent="0.3">
      <c r="A2130" s="2"/>
      <c r="B2130" s="2"/>
    </row>
    <row r="2131" spans="1:2" x14ac:dyDescent="0.3">
      <c r="A2131" s="2"/>
      <c r="B2131" s="2"/>
    </row>
    <row r="2132" spans="1:2" x14ac:dyDescent="0.3">
      <c r="A2132" s="2"/>
      <c r="B2132" s="2"/>
    </row>
    <row r="2133" spans="1:2" x14ac:dyDescent="0.3">
      <c r="A2133" s="2"/>
      <c r="B2133" s="2"/>
    </row>
    <row r="2134" spans="1:2" x14ac:dyDescent="0.3">
      <c r="A2134" s="2"/>
      <c r="B2134" s="2"/>
    </row>
    <row r="2135" spans="1:2" x14ac:dyDescent="0.3">
      <c r="A2135" s="2"/>
      <c r="B2135" s="2"/>
    </row>
  </sheetData>
  <dataValidations count="4">
    <dataValidation type="list" allowBlank="1" showDropDown="1" showInputMessage="1" showErrorMessage="1" error="При необходимости инвертировать сигнал на верхнем уровне поставьт в это поле знак &quot;+&quot;" prompt="Указывается при отсутствии технической возможности инвертировать сигнал на уровне постанции" sqref="M2:M99" xr:uid="{00000000-0002-0000-0100-000000000000}">
      <formula1>"+"</formula1>
    </dataValidation>
    <dataValidation allowBlank="1" showDropDown="1" showErrorMessage="1" sqref="N2:N99" xr:uid="{00000000-0002-0000-0100-000001000000}"/>
    <dataValidation type="list" allowBlank="1" showInputMessage="1" showErrorMessage="1" sqref="I2:I99" xr:uid="{00000000-0002-0000-0100-000002000000}">
      <formula1>"Выключатель,Заземление,Разъединитель,АПТС"</formula1>
    </dataValidation>
    <dataValidation type="list" allowBlank="1" showInputMessage="1" showErrorMessage="1" sqref="L2:L99" xr:uid="{00000000-0002-0000-0100-000003000000}">
      <mc:AlternateContent xmlns:x12ac="http://schemas.microsoft.com/office/spreadsheetml/2011/1/ac" xmlns:mc="http://schemas.openxmlformats.org/markup-compatibility/2006">
        <mc:Choice Requires="x12ac">
          <x12ac:list>"SPI(1,30)","DPI(3,31)"</x12ac:list>
        </mc:Choice>
        <mc:Fallback>
          <formula1>"SPI(1,30),DPI(3,31)"</formula1>
        </mc:Fallback>
      </mc:AlternateContent>
    </dataValidation>
  </dataValidations>
  <printOptions horizontalCentered="1"/>
  <pageMargins left="0.31496062992125984" right="0.31496062992125984" top="0.35433070866141736" bottom="0.35433070866141736" header="0.31496062992125984" footer="0.31496062992125984"/>
  <pageSetup paperSize="9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N46"/>
  <sheetViews>
    <sheetView topLeftCell="A7" zoomScale="80" zoomScaleNormal="80" workbookViewId="0">
      <selection activeCell="L40" sqref="L40"/>
    </sheetView>
  </sheetViews>
  <sheetFormatPr defaultRowHeight="14.5" x14ac:dyDescent="0.35"/>
  <cols>
    <col min="1" max="1" width="5" customWidth="1"/>
    <col min="2" max="2" width="13.26953125" customWidth="1"/>
    <col min="3" max="3" width="15.1796875" customWidth="1"/>
    <col min="4" max="4" width="11.26953125" customWidth="1"/>
    <col min="5" max="5" width="9.7265625" customWidth="1"/>
    <col min="6" max="6" width="42.26953125" customWidth="1"/>
    <col min="7" max="7" width="18.1796875" customWidth="1"/>
    <col min="8" max="8" width="44.453125" customWidth="1"/>
    <col min="9" max="9" width="6.453125" customWidth="1"/>
    <col min="10" max="10" width="14" bestFit="1" customWidth="1"/>
    <col min="11" max="11" width="7.81640625" bestFit="1" customWidth="1"/>
    <col min="12" max="12" width="13.54296875" customWidth="1"/>
    <col min="13" max="13" width="7.81640625" bestFit="1" customWidth="1"/>
  </cols>
  <sheetData>
    <row r="1" spans="1:14" ht="78.75" customHeight="1" x14ac:dyDescent="0.35">
      <c r="A1" s="72" t="s">
        <v>29</v>
      </c>
      <c r="B1" s="64" t="s">
        <v>3</v>
      </c>
      <c r="C1" s="64" t="s">
        <v>31</v>
      </c>
      <c r="D1" s="64" t="s">
        <v>38</v>
      </c>
      <c r="E1" s="65" t="s">
        <v>133</v>
      </c>
      <c r="F1" s="64" t="s">
        <v>0</v>
      </c>
      <c r="G1" s="73" t="s">
        <v>33</v>
      </c>
      <c r="H1" s="64" t="s">
        <v>32</v>
      </c>
      <c r="I1" s="64" t="s">
        <v>5</v>
      </c>
      <c r="J1" s="64" t="s">
        <v>43</v>
      </c>
      <c r="K1" s="73" t="s">
        <v>6</v>
      </c>
      <c r="L1" s="64" t="s">
        <v>44</v>
      </c>
      <c r="M1" s="66" t="s">
        <v>2</v>
      </c>
      <c r="N1" s="67" t="s">
        <v>58</v>
      </c>
    </row>
    <row r="2" spans="1:14" ht="39" x14ac:dyDescent="0.35">
      <c r="A2" s="11">
        <v>1</v>
      </c>
      <c r="B2" s="13" t="s">
        <v>96</v>
      </c>
      <c r="C2" s="69">
        <v>1</v>
      </c>
      <c r="D2" s="14">
        <v>1024</v>
      </c>
      <c r="E2" s="13" t="s">
        <v>35</v>
      </c>
      <c r="F2" s="70" t="s">
        <v>139</v>
      </c>
      <c r="G2" s="14" t="s">
        <v>80</v>
      </c>
      <c r="H2" s="47" t="str">
        <f t="shared" ref="H2:H46" si="0">CONCATENATE(G2," ",F2)</f>
        <v>Ia ТП 29755</v>
      </c>
      <c r="I2" s="11">
        <v>1001</v>
      </c>
      <c r="J2" s="14" t="s">
        <v>116</v>
      </c>
      <c r="K2" s="14" t="s">
        <v>117</v>
      </c>
      <c r="L2" s="14"/>
      <c r="M2" s="11">
        <v>2</v>
      </c>
      <c r="N2" s="131" t="s">
        <v>211</v>
      </c>
    </row>
    <row r="3" spans="1:14" ht="39" x14ac:dyDescent="0.35">
      <c r="A3" s="11">
        <v>2</v>
      </c>
      <c r="B3" s="13" t="s">
        <v>96</v>
      </c>
      <c r="C3" s="69">
        <v>1</v>
      </c>
      <c r="D3" s="14">
        <v>1025</v>
      </c>
      <c r="E3" s="13" t="s">
        <v>35</v>
      </c>
      <c r="F3" s="70" t="s">
        <v>139</v>
      </c>
      <c r="G3" s="14" t="s">
        <v>81</v>
      </c>
      <c r="H3" s="47" t="str">
        <f t="shared" si="0"/>
        <v>Ib ТП 29755</v>
      </c>
      <c r="I3" s="11">
        <v>1002</v>
      </c>
      <c r="J3" s="14" t="s">
        <v>116</v>
      </c>
      <c r="K3" s="14" t="s">
        <v>117</v>
      </c>
      <c r="L3" s="14"/>
      <c r="M3" s="11">
        <v>2</v>
      </c>
      <c r="N3" s="131" t="s">
        <v>211</v>
      </c>
    </row>
    <row r="4" spans="1:14" x14ac:dyDescent="0.35">
      <c r="A4" s="11">
        <v>3</v>
      </c>
      <c r="B4" s="13" t="s">
        <v>96</v>
      </c>
      <c r="C4" s="69">
        <v>1</v>
      </c>
      <c r="D4" s="14">
        <v>1026</v>
      </c>
      <c r="E4" s="13" t="s">
        <v>35</v>
      </c>
      <c r="F4" s="70" t="s">
        <v>139</v>
      </c>
      <c r="G4" s="14" t="s">
        <v>82</v>
      </c>
      <c r="H4" s="47" t="str">
        <f t="shared" si="0"/>
        <v>Ic ТП 29755</v>
      </c>
      <c r="I4" s="11">
        <v>1003</v>
      </c>
      <c r="J4" s="14" t="s">
        <v>116</v>
      </c>
      <c r="K4" s="14" t="s">
        <v>117</v>
      </c>
      <c r="L4" s="14"/>
      <c r="M4" s="11">
        <v>2</v>
      </c>
      <c r="N4" s="131"/>
    </row>
    <row r="5" spans="1:14" x14ac:dyDescent="0.35">
      <c r="A5" s="11">
        <v>4</v>
      </c>
      <c r="B5" s="13" t="s">
        <v>96</v>
      </c>
      <c r="C5" s="69">
        <v>2</v>
      </c>
      <c r="D5" s="14">
        <v>1024</v>
      </c>
      <c r="E5" s="13" t="s">
        <v>36</v>
      </c>
      <c r="F5" s="70" t="s">
        <v>140</v>
      </c>
      <c r="G5" s="14" t="s">
        <v>80</v>
      </c>
      <c r="H5" s="47" t="str">
        <f t="shared" si="0"/>
        <v>Ia ТП 29674</v>
      </c>
      <c r="I5" s="11">
        <v>1004</v>
      </c>
      <c r="J5" s="14" t="s">
        <v>116</v>
      </c>
      <c r="K5" s="14" t="s">
        <v>117</v>
      </c>
      <c r="L5" s="14"/>
      <c r="M5" s="11">
        <v>2</v>
      </c>
      <c r="N5" s="131"/>
    </row>
    <row r="6" spans="1:14" x14ac:dyDescent="0.35">
      <c r="A6" s="11">
        <v>5</v>
      </c>
      <c r="B6" s="13" t="s">
        <v>96</v>
      </c>
      <c r="C6" s="69">
        <v>2</v>
      </c>
      <c r="D6" s="14">
        <v>1025</v>
      </c>
      <c r="E6" s="13" t="s">
        <v>36</v>
      </c>
      <c r="F6" s="70" t="s">
        <v>140</v>
      </c>
      <c r="G6" s="14" t="s">
        <v>81</v>
      </c>
      <c r="H6" s="47" t="str">
        <f t="shared" si="0"/>
        <v>Ib ТП 29674</v>
      </c>
      <c r="I6" s="11">
        <v>1005</v>
      </c>
      <c r="J6" s="14" t="s">
        <v>116</v>
      </c>
      <c r="K6" s="14" t="s">
        <v>117</v>
      </c>
      <c r="L6" s="14"/>
      <c r="M6" s="11">
        <v>2</v>
      </c>
      <c r="N6" s="131"/>
    </row>
    <row r="7" spans="1:14" x14ac:dyDescent="0.35">
      <c r="A7" s="11">
        <v>6</v>
      </c>
      <c r="B7" s="13" t="s">
        <v>96</v>
      </c>
      <c r="C7" s="69">
        <v>2</v>
      </c>
      <c r="D7" s="14">
        <v>1026</v>
      </c>
      <c r="E7" s="13" t="s">
        <v>36</v>
      </c>
      <c r="F7" s="70" t="s">
        <v>140</v>
      </c>
      <c r="G7" s="14" t="s">
        <v>82</v>
      </c>
      <c r="H7" s="47" t="str">
        <f t="shared" si="0"/>
        <v>Ic ТП 29674</v>
      </c>
      <c r="I7" s="11">
        <v>1006</v>
      </c>
      <c r="J7" s="14" t="s">
        <v>116</v>
      </c>
      <c r="K7" s="14" t="s">
        <v>117</v>
      </c>
      <c r="L7" s="14"/>
      <c r="M7" s="11">
        <v>2</v>
      </c>
      <c r="N7" s="131"/>
    </row>
    <row r="8" spans="1:14" x14ac:dyDescent="0.35">
      <c r="A8" s="11">
        <v>4</v>
      </c>
      <c r="B8" s="13" t="s">
        <v>96</v>
      </c>
      <c r="C8" s="69">
        <v>3</v>
      </c>
      <c r="D8" s="14">
        <v>1024</v>
      </c>
      <c r="E8" s="13" t="s">
        <v>160</v>
      </c>
      <c r="F8" s="70" t="s">
        <v>208</v>
      </c>
      <c r="G8" s="14" t="s">
        <v>80</v>
      </c>
      <c r="H8" s="47" t="str">
        <f t="shared" ref="H8:H10" si="1">CONCATENATE(G8," ",F8)</f>
        <v>Ia ОЛ Резерв яч.3</v>
      </c>
      <c r="I8" s="11">
        <v>1007</v>
      </c>
      <c r="J8" s="14" t="s">
        <v>116</v>
      </c>
      <c r="K8" s="14" t="s">
        <v>117</v>
      </c>
      <c r="L8" s="14"/>
      <c r="M8" s="11">
        <v>2</v>
      </c>
      <c r="N8" s="131"/>
    </row>
    <row r="9" spans="1:14" x14ac:dyDescent="0.35">
      <c r="A9" s="11">
        <v>5</v>
      </c>
      <c r="B9" s="13" t="s">
        <v>96</v>
      </c>
      <c r="C9" s="69">
        <v>3</v>
      </c>
      <c r="D9" s="14">
        <v>1025</v>
      </c>
      <c r="E9" s="13" t="s">
        <v>160</v>
      </c>
      <c r="F9" s="70" t="s">
        <v>208</v>
      </c>
      <c r="G9" s="14" t="s">
        <v>81</v>
      </c>
      <c r="H9" s="47" t="str">
        <f t="shared" si="1"/>
        <v>Ib ОЛ Резерв яч.3</v>
      </c>
      <c r="I9" s="11">
        <v>1008</v>
      </c>
      <c r="J9" s="14" t="s">
        <v>116</v>
      </c>
      <c r="K9" s="14" t="s">
        <v>117</v>
      </c>
      <c r="L9" s="14"/>
      <c r="M9" s="11">
        <v>2</v>
      </c>
      <c r="N9" s="131"/>
    </row>
    <row r="10" spans="1:14" x14ac:dyDescent="0.35">
      <c r="A10" s="11">
        <v>6</v>
      </c>
      <c r="B10" s="13" t="s">
        <v>96</v>
      </c>
      <c r="C10" s="69">
        <v>3</v>
      </c>
      <c r="D10" s="14">
        <v>1026</v>
      </c>
      <c r="E10" s="13" t="s">
        <v>160</v>
      </c>
      <c r="F10" s="70" t="s">
        <v>208</v>
      </c>
      <c r="G10" s="14" t="s">
        <v>82</v>
      </c>
      <c r="H10" s="47" t="str">
        <f t="shared" si="1"/>
        <v>Ic ОЛ Резерв яч.3</v>
      </c>
      <c r="I10" s="11">
        <v>1009</v>
      </c>
      <c r="J10" s="14" t="s">
        <v>116</v>
      </c>
      <c r="K10" s="14" t="s">
        <v>117</v>
      </c>
      <c r="L10" s="14"/>
      <c r="M10" s="11">
        <v>2</v>
      </c>
      <c r="N10" s="131"/>
    </row>
    <row r="11" spans="1:14" x14ac:dyDescent="0.35">
      <c r="A11" s="11">
        <v>7</v>
      </c>
      <c r="B11" s="7" t="s">
        <v>99</v>
      </c>
      <c r="C11" s="69">
        <v>6</v>
      </c>
      <c r="D11" s="14">
        <v>1088</v>
      </c>
      <c r="E11" s="13" t="s">
        <v>163</v>
      </c>
      <c r="F11" s="13" t="s">
        <v>71</v>
      </c>
      <c r="G11" s="14" t="s">
        <v>80</v>
      </c>
      <c r="H11" s="47" t="str">
        <f t="shared" si="0"/>
        <v>Ia Т-1</v>
      </c>
      <c r="I11" s="11">
        <v>1010</v>
      </c>
      <c r="J11" s="14" t="s">
        <v>116</v>
      </c>
      <c r="K11" s="14" t="s">
        <v>117</v>
      </c>
      <c r="L11" s="14"/>
      <c r="M11" s="11">
        <v>2</v>
      </c>
      <c r="N11" s="131"/>
    </row>
    <row r="12" spans="1:14" x14ac:dyDescent="0.35">
      <c r="A12" s="11">
        <v>8</v>
      </c>
      <c r="B12" s="7" t="s">
        <v>99</v>
      </c>
      <c r="C12" s="69">
        <v>6</v>
      </c>
      <c r="D12" s="14">
        <v>1090</v>
      </c>
      <c r="E12" s="13" t="s">
        <v>163</v>
      </c>
      <c r="F12" s="13" t="s">
        <v>71</v>
      </c>
      <c r="G12" s="14" t="s">
        <v>81</v>
      </c>
      <c r="H12" s="47" t="str">
        <f t="shared" si="0"/>
        <v>Ib Т-1</v>
      </c>
      <c r="I12" s="11">
        <v>1011</v>
      </c>
      <c r="J12" s="14" t="s">
        <v>116</v>
      </c>
      <c r="K12" s="14" t="s">
        <v>117</v>
      </c>
      <c r="L12" s="14"/>
      <c r="M12" s="11">
        <v>2</v>
      </c>
      <c r="N12" s="131"/>
    </row>
    <row r="13" spans="1:14" x14ac:dyDescent="0.35">
      <c r="A13" s="11">
        <v>9</v>
      </c>
      <c r="B13" s="7" t="s">
        <v>99</v>
      </c>
      <c r="C13" s="69">
        <v>6</v>
      </c>
      <c r="D13" s="14">
        <v>1092</v>
      </c>
      <c r="E13" s="13" t="s">
        <v>163</v>
      </c>
      <c r="F13" s="13" t="s">
        <v>71</v>
      </c>
      <c r="G13" s="14" t="s">
        <v>82</v>
      </c>
      <c r="H13" s="47" t="str">
        <f t="shared" si="0"/>
        <v>Ic Т-1</v>
      </c>
      <c r="I13" s="11">
        <v>1012</v>
      </c>
      <c r="J13" s="14" t="s">
        <v>116</v>
      </c>
      <c r="K13" s="14" t="s">
        <v>117</v>
      </c>
      <c r="L13" s="14"/>
      <c r="M13" s="11">
        <v>2</v>
      </c>
      <c r="N13" s="131"/>
    </row>
    <row r="14" spans="1:14" x14ac:dyDescent="0.35">
      <c r="A14" s="11">
        <v>10</v>
      </c>
      <c r="B14" s="13" t="s">
        <v>96</v>
      </c>
      <c r="C14" s="69">
        <v>8</v>
      </c>
      <c r="D14" s="14">
        <v>1024</v>
      </c>
      <c r="E14" s="13" t="s">
        <v>67</v>
      </c>
      <c r="F14" s="7" t="s">
        <v>83</v>
      </c>
      <c r="G14" s="14" t="s">
        <v>80</v>
      </c>
      <c r="H14" s="47" t="str">
        <f t="shared" si="0"/>
        <v>Ia СВН</v>
      </c>
      <c r="I14" s="11">
        <v>1013</v>
      </c>
      <c r="J14" s="14" t="s">
        <v>116</v>
      </c>
      <c r="K14" s="14" t="s">
        <v>117</v>
      </c>
      <c r="L14" s="14"/>
      <c r="M14" s="11">
        <v>2</v>
      </c>
      <c r="N14" s="131"/>
    </row>
    <row r="15" spans="1:14" x14ac:dyDescent="0.35">
      <c r="A15" s="11">
        <v>11</v>
      </c>
      <c r="B15" s="13" t="s">
        <v>96</v>
      </c>
      <c r="C15" s="69">
        <v>8</v>
      </c>
      <c r="D15" s="14">
        <v>1025</v>
      </c>
      <c r="E15" s="13" t="s">
        <v>67</v>
      </c>
      <c r="F15" s="7" t="s">
        <v>83</v>
      </c>
      <c r="G15" s="14" t="s">
        <v>81</v>
      </c>
      <c r="H15" s="47" t="str">
        <f t="shared" si="0"/>
        <v>Ib СВН</v>
      </c>
      <c r="I15" s="11">
        <v>1014</v>
      </c>
      <c r="J15" s="14" t="s">
        <v>116</v>
      </c>
      <c r="K15" s="14" t="s">
        <v>117</v>
      </c>
      <c r="L15" s="14"/>
      <c r="M15" s="11">
        <v>2</v>
      </c>
      <c r="N15" s="131"/>
    </row>
    <row r="16" spans="1:14" x14ac:dyDescent="0.35">
      <c r="A16" s="11">
        <v>12</v>
      </c>
      <c r="B16" s="13" t="s">
        <v>96</v>
      </c>
      <c r="C16" s="69">
        <v>8</v>
      </c>
      <c r="D16" s="14">
        <v>1026</v>
      </c>
      <c r="E16" s="13" t="s">
        <v>67</v>
      </c>
      <c r="F16" s="7" t="s">
        <v>83</v>
      </c>
      <c r="G16" s="14" t="s">
        <v>82</v>
      </c>
      <c r="H16" s="47" t="str">
        <f t="shared" si="0"/>
        <v>Ic СВН</v>
      </c>
      <c r="I16" s="11">
        <v>1015</v>
      </c>
      <c r="J16" s="14" t="s">
        <v>116</v>
      </c>
      <c r="K16" s="14" t="s">
        <v>117</v>
      </c>
      <c r="L16" s="14"/>
      <c r="M16" s="11">
        <v>2</v>
      </c>
      <c r="N16" s="131"/>
    </row>
    <row r="17" spans="1:14" x14ac:dyDescent="0.35">
      <c r="A17" s="11">
        <v>13</v>
      </c>
      <c r="B17" s="7" t="s">
        <v>99</v>
      </c>
      <c r="C17" s="69">
        <v>9</v>
      </c>
      <c r="D17" s="14">
        <v>1088</v>
      </c>
      <c r="E17" s="13" t="s">
        <v>68</v>
      </c>
      <c r="F17" s="13" t="s">
        <v>72</v>
      </c>
      <c r="G17" s="14" t="s">
        <v>80</v>
      </c>
      <c r="H17" s="47" t="str">
        <f t="shared" si="0"/>
        <v>Ia Т-2</v>
      </c>
      <c r="I17" s="11">
        <v>1016</v>
      </c>
      <c r="J17" s="14" t="s">
        <v>116</v>
      </c>
      <c r="K17" s="14" t="s">
        <v>117</v>
      </c>
      <c r="L17" s="14"/>
      <c r="M17" s="11">
        <v>2</v>
      </c>
      <c r="N17" s="131"/>
    </row>
    <row r="18" spans="1:14" x14ac:dyDescent="0.35">
      <c r="A18" s="11">
        <v>14</v>
      </c>
      <c r="B18" s="7" t="s">
        <v>99</v>
      </c>
      <c r="C18" s="69">
        <v>9</v>
      </c>
      <c r="D18" s="14">
        <v>1090</v>
      </c>
      <c r="E18" s="13" t="s">
        <v>68</v>
      </c>
      <c r="F18" s="13" t="s">
        <v>72</v>
      </c>
      <c r="G18" s="14" t="s">
        <v>81</v>
      </c>
      <c r="H18" s="47" t="str">
        <f t="shared" si="0"/>
        <v>Ib Т-2</v>
      </c>
      <c r="I18" s="11">
        <v>1017</v>
      </c>
      <c r="J18" s="14" t="s">
        <v>116</v>
      </c>
      <c r="K18" s="14" t="s">
        <v>117</v>
      </c>
      <c r="L18" s="14"/>
      <c r="M18" s="11">
        <v>2</v>
      </c>
      <c r="N18" s="131"/>
    </row>
    <row r="19" spans="1:14" x14ac:dyDescent="0.35">
      <c r="A19" s="11">
        <v>15</v>
      </c>
      <c r="B19" s="7" t="s">
        <v>99</v>
      </c>
      <c r="C19" s="69">
        <v>9</v>
      </c>
      <c r="D19" s="14">
        <v>1092</v>
      </c>
      <c r="E19" s="13" t="s">
        <v>68</v>
      </c>
      <c r="F19" s="13" t="s">
        <v>72</v>
      </c>
      <c r="G19" s="14" t="s">
        <v>82</v>
      </c>
      <c r="H19" s="47" t="str">
        <f t="shared" si="0"/>
        <v>Ic Т-2</v>
      </c>
      <c r="I19" s="11">
        <v>1018</v>
      </c>
      <c r="J19" s="14" t="s">
        <v>116</v>
      </c>
      <c r="K19" s="14" t="s">
        <v>117</v>
      </c>
      <c r="L19" s="14"/>
      <c r="M19" s="11">
        <v>2</v>
      </c>
      <c r="N19" s="131"/>
    </row>
    <row r="20" spans="1:14" ht="18.75" customHeight="1" x14ac:dyDescent="0.35">
      <c r="A20" s="11">
        <v>16</v>
      </c>
      <c r="B20" s="13" t="s">
        <v>96</v>
      </c>
      <c r="C20" s="69">
        <v>12</v>
      </c>
      <c r="D20" s="14">
        <v>1024</v>
      </c>
      <c r="E20" s="13" t="s">
        <v>70</v>
      </c>
      <c r="F20" s="70" t="s">
        <v>103</v>
      </c>
      <c r="G20" s="14" t="s">
        <v>80</v>
      </c>
      <c r="H20" s="47" t="str">
        <f t="shared" si="0"/>
        <v>Ia ОЛ Резерв</v>
      </c>
      <c r="I20" s="11">
        <v>1019</v>
      </c>
      <c r="J20" s="14" t="s">
        <v>116</v>
      </c>
      <c r="K20" s="14" t="s">
        <v>117</v>
      </c>
      <c r="L20" s="14"/>
      <c r="M20" s="11">
        <v>2</v>
      </c>
      <c r="N20" s="131"/>
    </row>
    <row r="21" spans="1:14" ht="17.25" customHeight="1" x14ac:dyDescent="0.35">
      <c r="A21" s="11">
        <v>17</v>
      </c>
      <c r="B21" s="13" t="s">
        <v>96</v>
      </c>
      <c r="C21" s="69">
        <v>12</v>
      </c>
      <c r="D21" s="14">
        <v>1025</v>
      </c>
      <c r="E21" s="13" t="s">
        <v>70</v>
      </c>
      <c r="F21" s="70" t="s">
        <v>103</v>
      </c>
      <c r="G21" s="14" t="s">
        <v>81</v>
      </c>
      <c r="H21" s="47" t="str">
        <f t="shared" si="0"/>
        <v>Ib ОЛ Резерв</v>
      </c>
      <c r="I21" s="11">
        <v>1020</v>
      </c>
      <c r="J21" s="14" t="s">
        <v>116</v>
      </c>
      <c r="K21" s="14" t="s">
        <v>117</v>
      </c>
      <c r="L21" s="14"/>
      <c r="M21" s="11">
        <v>2</v>
      </c>
      <c r="N21" s="131"/>
    </row>
    <row r="22" spans="1:14" x14ac:dyDescent="0.35">
      <c r="A22" s="11">
        <v>18</v>
      </c>
      <c r="B22" s="13" t="s">
        <v>96</v>
      </c>
      <c r="C22" s="69">
        <v>12</v>
      </c>
      <c r="D22" s="14">
        <v>1026</v>
      </c>
      <c r="E22" s="13" t="s">
        <v>70</v>
      </c>
      <c r="F22" s="70" t="s">
        <v>103</v>
      </c>
      <c r="G22" s="14" t="s">
        <v>82</v>
      </c>
      <c r="H22" s="47" t="str">
        <f t="shared" si="0"/>
        <v>Ic ОЛ Резерв</v>
      </c>
      <c r="I22" s="11">
        <v>1021</v>
      </c>
      <c r="J22" s="14" t="s">
        <v>116</v>
      </c>
      <c r="K22" s="14" t="s">
        <v>117</v>
      </c>
      <c r="L22" s="14"/>
      <c r="M22" s="11">
        <v>2</v>
      </c>
      <c r="N22" s="131"/>
    </row>
    <row r="23" spans="1:14" x14ac:dyDescent="0.35">
      <c r="A23" s="11">
        <v>19</v>
      </c>
      <c r="B23" s="13" t="s">
        <v>96</v>
      </c>
      <c r="C23" s="69">
        <v>13</v>
      </c>
      <c r="D23" s="14">
        <v>1024</v>
      </c>
      <c r="E23" s="13" t="s">
        <v>141</v>
      </c>
      <c r="F23" s="70" t="s">
        <v>205</v>
      </c>
      <c r="G23" s="14" t="s">
        <v>80</v>
      </c>
      <c r="H23" s="47" t="str">
        <f t="shared" si="0"/>
        <v>Ia ТП 29764</v>
      </c>
      <c r="I23" s="11">
        <v>1022</v>
      </c>
      <c r="J23" s="14" t="s">
        <v>116</v>
      </c>
      <c r="K23" s="14" t="s">
        <v>117</v>
      </c>
      <c r="L23" s="14"/>
      <c r="M23" s="11">
        <v>2</v>
      </c>
      <c r="N23" s="131"/>
    </row>
    <row r="24" spans="1:14" x14ac:dyDescent="0.35">
      <c r="A24" s="11">
        <v>20</v>
      </c>
      <c r="B24" s="13" t="s">
        <v>96</v>
      </c>
      <c r="C24" s="69">
        <v>13</v>
      </c>
      <c r="D24" s="14">
        <v>1025</v>
      </c>
      <c r="E24" s="13" t="s">
        <v>141</v>
      </c>
      <c r="F24" s="70" t="s">
        <v>205</v>
      </c>
      <c r="G24" s="14" t="s">
        <v>81</v>
      </c>
      <c r="H24" s="47" t="str">
        <f t="shared" si="0"/>
        <v>Ib ТП 29764</v>
      </c>
      <c r="I24" s="11">
        <v>1023</v>
      </c>
      <c r="J24" s="14" t="s">
        <v>116</v>
      </c>
      <c r="K24" s="14" t="s">
        <v>117</v>
      </c>
      <c r="L24" s="14"/>
      <c r="M24" s="11">
        <v>2</v>
      </c>
      <c r="N24" s="131"/>
    </row>
    <row r="25" spans="1:14" x14ac:dyDescent="0.35">
      <c r="A25" s="11">
        <v>21</v>
      </c>
      <c r="B25" s="13" t="s">
        <v>96</v>
      </c>
      <c r="C25" s="69">
        <v>13</v>
      </c>
      <c r="D25" s="14">
        <v>1026</v>
      </c>
      <c r="E25" s="13" t="s">
        <v>141</v>
      </c>
      <c r="F25" s="70" t="s">
        <v>205</v>
      </c>
      <c r="G25" s="14" t="s">
        <v>82</v>
      </c>
      <c r="H25" s="47" t="str">
        <f t="shared" si="0"/>
        <v>Ic ТП 29764</v>
      </c>
      <c r="I25" s="11">
        <v>1024</v>
      </c>
      <c r="J25" s="14" t="s">
        <v>116</v>
      </c>
      <c r="K25" s="14" t="s">
        <v>117</v>
      </c>
      <c r="L25" s="14"/>
      <c r="M25" s="11">
        <v>2</v>
      </c>
      <c r="N25" s="131"/>
    </row>
    <row r="26" spans="1:14" x14ac:dyDescent="0.35">
      <c r="A26" s="11">
        <v>19</v>
      </c>
      <c r="B26" s="13" t="s">
        <v>96</v>
      </c>
      <c r="C26" s="69">
        <v>14</v>
      </c>
      <c r="D26" s="14">
        <v>1024</v>
      </c>
      <c r="E26" s="13" t="s">
        <v>142</v>
      </c>
      <c r="F26" s="70" t="s">
        <v>143</v>
      </c>
      <c r="G26" s="14" t="s">
        <v>80</v>
      </c>
      <c r="H26" s="47" t="str">
        <f t="shared" ref="H26:H28" si="2">CONCATENATE(G26," ",F26)</f>
        <v>Ia ТП 29759</v>
      </c>
      <c r="I26" s="11">
        <v>1025</v>
      </c>
      <c r="J26" s="14" t="s">
        <v>116</v>
      </c>
      <c r="K26" s="14" t="s">
        <v>117</v>
      </c>
      <c r="L26" s="14"/>
      <c r="M26" s="11">
        <v>2</v>
      </c>
      <c r="N26" s="131"/>
    </row>
    <row r="27" spans="1:14" x14ac:dyDescent="0.35">
      <c r="A27" s="11">
        <v>20</v>
      </c>
      <c r="B27" s="13" t="s">
        <v>96</v>
      </c>
      <c r="C27" s="69">
        <v>14</v>
      </c>
      <c r="D27" s="14">
        <v>1025</v>
      </c>
      <c r="E27" s="13" t="s">
        <v>142</v>
      </c>
      <c r="F27" s="70" t="s">
        <v>143</v>
      </c>
      <c r="G27" s="14" t="s">
        <v>81</v>
      </c>
      <c r="H27" s="47" t="str">
        <f t="shared" si="2"/>
        <v>Ib ТП 29759</v>
      </c>
      <c r="I27" s="11">
        <v>1026</v>
      </c>
      <c r="J27" s="14" t="s">
        <v>116</v>
      </c>
      <c r="K27" s="14" t="s">
        <v>117</v>
      </c>
      <c r="L27" s="14"/>
      <c r="M27" s="11">
        <v>2</v>
      </c>
      <c r="N27" s="131"/>
    </row>
    <row r="28" spans="1:14" x14ac:dyDescent="0.35">
      <c r="A28" s="11">
        <v>21</v>
      </c>
      <c r="B28" s="13" t="s">
        <v>96</v>
      </c>
      <c r="C28" s="69">
        <v>14</v>
      </c>
      <c r="D28" s="14">
        <v>1026</v>
      </c>
      <c r="E28" s="13" t="s">
        <v>142</v>
      </c>
      <c r="F28" s="70" t="s">
        <v>143</v>
      </c>
      <c r="G28" s="14" t="s">
        <v>82</v>
      </c>
      <c r="H28" s="47" t="str">
        <f t="shared" si="2"/>
        <v>Ic ТП 29759</v>
      </c>
      <c r="I28" s="11">
        <v>1027</v>
      </c>
      <c r="J28" s="14" t="s">
        <v>116</v>
      </c>
      <c r="K28" s="14" t="s">
        <v>117</v>
      </c>
      <c r="L28" s="14"/>
      <c r="M28" s="11">
        <v>2</v>
      </c>
      <c r="N28" s="131"/>
    </row>
    <row r="29" spans="1:14" x14ac:dyDescent="0.35">
      <c r="A29" s="11">
        <v>22</v>
      </c>
      <c r="B29" s="63" t="s">
        <v>199</v>
      </c>
      <c r="C29" s="69"/>
      <c r="D29" s="14"/>
      <c r="E29" s="13" t="s">
        <v>102</v>
      </c>
      <c r="F29" s="13" t="s">
        <v>111</v>
      </c>
      <c r="G29" s="14" t="s">
        <v>80</v>
      </c>
      <c r="H29" s="47" t="str">
        <f t="shared" si="0"/>
        <v>Ia 1c 0,4 кВ</v>
      </c>
      <c r="I29" s="11">
        <v>1101</v>
      </c>
      <c r="J29" s="14" t="s">
        <v>116</v>
      </c>
      <c r="K29" s="14" t="s">
        <v>117</v>
      </c>
      <c r="L29" s="14"/>
      <c r="M29" s="11">
        <v>15</v>
      </c>
      <c r="N29" s="131"/>
    </row>
    <row r="30" spans="1:14" x14ac:dyDescent="0.35">
      <c r="A30" s="11">
        <v>23</v>
      </c>
      <c r="B30" s="63" t="s">
        <v>199</v>
      </c>
      <c r="C30" s="69"/>
      <c r="D30" s="14"/>
      <c r="E30" s="13" t="s">
        <v>102</v>
      </c>
      <c r="F30" s="13" t="s">
        <v>111</v>
      </c>
      <c r="G30" s="14" t="s">
        <v>81</v>
      </c>
      <c r="H30" s="47" t="str">
        <f t="shared" si="0"/>
        <v>Ib 1c 0,4 кВ</v>
      </c>
      <c r="I30" s="11">
        <v>1102</v>
      </c>
      <c r="J30" s="14" t="s">
        <v>116</v>
      </c>
      <c r="K30" s="14" t="s">
        <v>117</v>
      </c>
      <c r="L30" s="14"/>
      <c r="M30" s="11">
        <v>15</v>
      </c>
      <c r="N30" s="131"/>
    </row>
    <row r="31" spans="1:14" x14ac:dyDescent="0.35">
      <c r="A31" s="11">
        <v>24</v>
      </c>
      <c r="B31" s="63" t="s">
        <v>199</v>
      </c>
      <c r="C31" s="69"/>
      <c r="D31" s="14"/>
      <c r="E31" s="13" t="s">
        <v>102</v>
      </c>
      <c r="F31" s="13" t="s">
        <v>111</v>
      </c>
      <c r="G31" s="14" t="s">
        <v>82</v>
      </c>
      <c r="H31" s="47" t="str">
        <f t="shared" si="0"/>
        <v>Ic 1c 0,4 кВ</v>
      </c>
      <c r="I31" s="11">
        <v>1103</v>
      </c>
      <c r="J31" s="14" t="s">
        <v>116</v>
      </c>
      <c r="K31" s="14" t="s">
        <v>117</v>
      </c>
      <c r="L31" s="14"/>
      <c r="M31" s="11">
        <v>15</v>
      </c>
      <c r="N31" s="131"/>
    </row>
    <row r="32" spans="1:14" x14ac:dyDescent="0.35">
      <c r="A32" s="11">
        <v>25</v>
      </c>
      <c r="B32" s="63" t="s">
        <v>199</v>
      </c>
      <c r="C32" s="69"/>
      <c r="D32" s="14"/>
      <c r="E32" s="13" t="s">
        <v>102</v>
      </c>
      <c r="F32" s="13" t="s">
        <v>111</v>
      </c>
      <c r="G32" s="14" t="s">
        <v>84</v>
      </c>
      <c r="H32" s="47" t="str">
        <f t="shared" si="0"/>
        <v>Ua 1c 0,4 кВ</v>
      </c>
      <c r="I32" s="11">
        <v>1104</v>
      </c>
      <c r="J32" s="14" t="s">
        <v>116</v>
      </c>
      <c r="K32" s="14" t="s">
        <v>73</v>
      </c>
      <c r="L32" s="14"/>
      <c r="M32" s="11">
        <v>3</v>
      </c>
      <c r="N32" s="131"/>
    </row>
    <row r="33" spans="1:14" x14ac:dyDescent="0.35">
      <c r="A33" s="11">
        <v>26</v>
      </c>
      <c r="B33" s="63" t="s">
        <v>199</v>
      </c>
      <c r="C33" s="69"/>
      <c r="D33" s="14"/>
      <c r="E33" s="13" t="s">
        <v>102</v>
      </c>
      <c r="F33" s="13" t="s">
        <v>111</v>
      </c>
      <c r="G33" s="14" t="s">
        <v>85</v>
      </c>
      <c r="H33" s="47" t="str">
        <f t="shared" si="0"/>
        <v>Ub 1c 0,4 кВ</v>
      </c>
      <c r="I33" s="11">
        <v>1105</v>
      </c>
      <c r="J33" s="14" t="s">
        <v>116</v>
      </c>
      <c r="K33" s="14" t="s">
        <v>73</v>
      </c>
      <c r="L33" s="14"/>
      <c r="M33" s="11">
        <v>3</v>
      </c>
      <c r="N33" s="131"/>
    </row>
    <row r="34" spans="1:14" x14ac:dyDescent="0.35">
      <c r="A34" s="11">
        <v>27</v>
      </c>
      <c r="B34" s="63" t="s">
        <v>199</v>
      </c>
      <c r="C34" s="69"/>
      <c r="D34" s="14"/>
      <c r="E34" s="13" t="s">
        <v>102</v>
      </c>
      <c r="F34" s="13" t="s">
        <v>111</v>
      </c>
      <c r="G34" s="14" t="s">
        <v>86</v>
      </c>
      <c r="H34" s="47" t="str">
        <f t="shared" si="0"/>
        <v>Uc 1c 0,4 кВ</v>
      </c>
      <c r="I34" s="11">
        <v>1106</v>
      </c>
      <c r="J34" s="14" t="s">
        <v>116</v>
      </c>
      <c r="K34" s="14" t="s">
        <v>73</v>
      </c>
      <c r="L34" s="14"/>
      <c r="M34" s="11">
        <v>3</v>
      </c>
      <c r="N34" s="131"/>
    </row>
    <row r="35" spans="1:14" x14ac:dyDescent="0.35">
      <c r="A35" s="11">
        <v>28</v>
      </c>
      <c r="B35" s="63" t="s">
        <v>199</v>
      </c>
      <c r="C35" s="69"/>
      <c r="D35" s="14"/>
      <c r="E35" s="13" t="s">
        <v>102</v>
      </c>
      <c r="F35" s="13" t="s">
        <v>111</v>
      </c>
      <c r="G35" s="14" t="s">
        <v>112</v>
      </c>
      <c r="H35" s="47" t="str">
        <f t="shared" si="0"/>
        <v>Pсумм. 1c 0,4 кВ</v>
      </c>
      <c r="I35" s="11">
        <v>1107</v>
      </c>
      <c r="J35" s="14" t="s">
        <v>116</v>
      </c>
      <c r="K35" s="14" t="s">
        <v>118</v>
      </c>
      <c r="L35" s="14"/>
      <c r="M35" s="11">
        <v>50</v>
      </c>
      <c r="N35" s="131"/>
    </row>
    <row r="36" spans="1:14" x14ac:dyDescent="0.35">
      <c r="A36" s="11">
        <v>29</v>
      </c>
      <c r="B36" s="63" t="s">
        <v>199</v>
      </c>
      <c r="C36" s="69"/>
      <c r="D36" s="14"/>
      <c r="E36" s="13" t="s">
        <v>102</v>
      </c>
      <c r="F36" s="13" t="s">
        <v>111</v>
      </c>
      <c r="G36" s="14" t="s">
        <v>113</v>
      </c>
      <c r="H36" s="47" t="str">
        <f t="shared" si="0"/>
        <v>Qсумм. 1c 0,4 кВ</v>
      </c>
      <c r="I36" s="11">
        <v>1108</v>
      </c>
      <c r="J36" s="14" t="s">
        <v>116</v>
      </c>
      <c r="K36" s="14" t="s">
        <v>119</v>
      </c>
      <c r="L36" s="14"/>
      <c r="M36" s="11">
        <v>50</v>
      </c>
      <c r="N36" s="131"/>
    </row>
    <row r="37" spans="1:14" x14ac:dyDescent="0.35">
      <c r="A37" s="11">
        <v>30</v>
      </c>
      <c r="B37" s="63" t="s">
        <v>199</v>
      </c>
      <c r="C37" s="69"/>
      <c r="D37" s="14"/>
      <c r="E37" s="13" t="s">
        <v>102</v>
      </c>
      <c r="F37" s="13" t="s">
        <v>111</v>
      </c>
      <c r="G37" s="14" t="s">
        <v>114</v>
      </c>
      <c r="H37" s="47" t="str">
        <f t="shared" si="0"/>
        <v>f 1c 0,4 кВ</v>
      </c>
      <c r="I37" s="11">
        <v>1109</v>
      </c>
      <c r="J37" s="14" t="s">
        <v>116</v>
      </c>
      <c r="K37" s="14" t="s">
        <v>120</v>
      </c>
      <c r="L37" s="14"/>
      <c r="M37" s="11">
        <v>0.1</v>
      </c>
      <c r="N37" s="131"/>
    </row>
    <row r="38" spans="1:14" x14ac:dyDescent="0.35">
      <c r="A38" s="11">
        <v>31</v>
      </c>
      <c r="B38" s="63" t="s">
        <v>199</v>
      </c>
      <c r="C38" s="69"/>
      <c r="D38" s="14"/>
      <c r="E38" s="13" t="s">
        <v>102</v>
      </c>
      <c r="F38" s="13" t="s">
        <v>115</v>
      </c>
      <c r="G38" s="14" t="s">
        <v>80</v>
      </c>
      <c r="H38" s="47" t="str">
        <f t="shared" si="0"/>
        <v>Ia 2c 0,4 кВ</v>
      </c>
      <c r="I38" s="11">
        <v>1110</v>
      </c>
      <c r="J38" s="14" t="s">
        <v>116</v>
      </c>
      <c r="K38" s="14" t="s">
        <v>117</v>
      </c>
      <c r="L38" s="14"/>
      <c r="M38" s="11">
        <v>15</v>
      </c>
      <c r="N38" s="131"/>
    </row>
    <row r="39" spans="1:14" x14ac:dyDescent="0.35">
      <c r="A39" s="11">
        <v>32</v>
      </c>
      <c r="B39" s="63" t="s">
        <v>199</v>
      </c>
      <c r="C39" s="69"/>
      <c r="D39" s="14"/>
      <c r="E39" s="13" t="s">
        <v>102</v>
      </c>
      <c r="F39" s="13" t="s">
        <v>115</v>
      </c>
      <c r="G39" s="14" t="s">
        <v>81</v>
      </c>
      <c r="H39" s="47" t="str">
        <f t="shared" si="0"/>
        <v>Ib 2c 0,4 кВ</v>
      </c>
      <c r="I39" s="11">
        <v>1111</v>
      </c>
      <c r="J39" s="14" t="s">
        <v>116</v>
      </c>
      <c r="K39" s="14" t="s">
        <v>117</v>
      </c>
      <c r="L39" s="14"/>
      <c r="M39" s="11">
        <v>15</v>
      </c>
      <c r="N39" s="131"/>
    </row>
    <row r="40" spans="1:14" x14ac:dyDescent="0.35">
      <c r="A40" s="11">
        <v>33</v>
      </c>
      <c r="B40" s="63" t="s">
        <v>199</v>
      </c>
      <c r="C40" s="69"/>
      <c r="D40" s="14"/>
      <c r="E40" s="13" t="s">
        <v>102</v>
      </c>
      <c r="F40" s="13" t="s">
        <v>115</v>
      </c>
      <c r="G40" s="14" t="s">
        <v>82</v>
      </c>
      <c r="H40" s="47" t="str">
        <f t="shared" si="0"/>
        <v>Ic 2c 0,4 кВ</v>
      </c>
      <c r="I40" s="11">
        <v>1112</v>
      </c>
      <c r="J40" s="14" t="s">
        <v>116</v>
      </c>
      <c r="K40" s="14" t="s">
        <v>117</v>
      </c>
      <c r="L40" s="14"/>
      <c r="M40" s="11">
        <v>15</v>
      </c>
      <c r="N40" s="131"/>
    </row>
    <row r="41" spans="1:14" x14ac:dyDescent="0.35">
      <c r="A41" s="11">
        <v>34</v>
      </c>
      <c r="B41" s="63" t="s">
        <v>199</v>
      </c>
      <c r="C41" s="69"/>
      <c r="D41" s="14"/>
      <c r="E41" s="13" t="s">
        <v>102</v>
      </c>
      <c r="F41" s="13" t="s">
        <v>115</v>
      </c>
      <c r="G41" s="14" t="s">
        <v>84</v>
      </c>
      <c r="H41" s="47" t="str">
        <f t="shared" si="0"/>
        <v>Ua 2c 0,4 кВ</v>
      </c>
      <c r="I41" s="11">
        <v>1113</v>
      </c>
      <c r="J41" s="14" t="s">
        <v>116</v>
      </c>
      <c r="K41" s="14" t="s">
        <v>73</v>
      </c>
      <c r="L41" s="14"/>
      <c r="M41" s="11">
        <v>3</v>
      </c>
      <c r="N41" s="131"/>
    </row>
    <row r="42" spans="1:14" x14ac:dyDescent="0.35">
      <c r="A42" s="11">
        <v>35</v>
      </c>
      <c r="B42" s="63" t="s">
        <v>199</v>
      </c>
      <c r="C42" s="69"/>
      <c r="D42" s="14"/>
      <c r="E42" s="13" t="s">
        <v>102</v>
      </c>
      <c r="F42" s="13" t="s">
        <v>115</v>
      </c>
      <c r="G42" s="14" t="s">
        <v>85</v>
      </c>
      <c r="H42" s="47" t="str">
        <f t="shared" si="0"/>
        <v>Ub 2c 0,4 кВ</v>
      </c>
      <c r="I42" s="11">
        <v>1114</v>
      </c>
      <c r="J42" s="14" t="s">
        <v>116</v>
      </c>
      <c r="K42" s="14" t="s">
        <v>73</v>
      </c>
      <c r="L42" s="14"/>
      <c r="M42" s="11">
        <v>3</v>
      </c>
      <c r="N42" s="131"/>
    </row>
    <row r="43" spans="1:14" x14ac:dyDescent="0.35">
      <c r="A43" s="11">
        <v>36</v>
      </c>
      <c r="B43" s="63" t="s">
        <v>199</v>
      </c>
      <c r="C43" s="69"/>
      <c r="D43" s="14"/>
      <c r="E43" s="13" t="s">
        <v>102</v>
      </c>
      <c r="F43" s="13" t="s">
        <v>115</v>
      </c>
      <c r="G43" s="14" t="s">
        <v>86</v>
      </c>
      <c r="H43" s="47" t="str">
        <f t="shared" si="0"/>
        <v>Uc 2c 0,4 кВ</v>
      </c>
      <c r="I43" s="11">
        <v>1115</v>
      </c>
      <c r="J43" s="14" t="s">
        <v>116</v>
      </c>
      <c r="K43" s="14" t="s">
        <v>73</v>
      </c>
      <c r="L43" s="14"/>
      <c r="M43" s="11">
        <v>3</v>
      </c>
      <c r="N43" s="131"/>
    </row>
    <row r="44" spans="1:14" x14ac:dyDescent="0.35">
      <c r="A44" s="11">
        <v>37</v>
      </c>
      <c r="B44" s="63" t="s">
        <v>199</v>
      </c>
      <c r="C44" s="69"/>
      <c r="D44" s="14"/>
      <c r="E44" s="13" t="s">
        <v>102</v>
      </c>
      <c r="F44" s="13" t="s">
        <v>115</v>
      </c>
      <c r="G44" s="14" t="s">
        <v>112</v>
      </c>
      <c r="H44" s="47" t="str">
        <f t="shared" si="0"/>
        <v>Pсумм. 2c 0,4 кВ</v>
      </c>
      <c r="I44" s="11">
        <v>1116</v>
      </c>
      <c r="J44" s="14" t="s">
        <v>116</v>
      </c>
      <c r="K44" s="14" t="s">
        <v>118</v>
      </c>
      <c r="L44" s="14"/>
      <c r="M44" s="11">
        <v>50</v>
      </c>
      <c r="N44" s="131"/>
    </row>
    <row r="45" spans="1:14" x14ac:dyDescent="0.35">
      <c r="A45" s="11">
        <v>38</v>
      </c>
      <c r="B45" s="63" t="s">
        <v>199</v>
      </c>
      <c r="C45" s="69"/>
      <c r="D45" s="71"/>
      <c r="E45" s="13" t="s">
        <v>102</v>
      </c>
      <c r="F45" s="13" t="s">
        <v>115</v>
      </c>
      <c r="G45" s="14" t="s">
        <v>113</v>
      </c>
      <c r="H45" s="47" t="str">
        <f t="shared" si="0"/>
        <v>Qсумм. 2c 0,4 кВ</v>
      </c>
      <c r="I45" s="11">
        <v>1117</v>
      </c>
      <c r="J45" s="14" t="s">
        <v>116</v>
      </c>
      <c r="K45" s="14" t="s">
        <v>119</v>
      </c>
      <c r="L45" s="14"/>
      <c r="M45" s="11">
        <v>50</v>
      </c>
      <c r="N45" s="131"/>
    </row>
    <row r="46" spans="1:14" x14ac:dyDescent="0.35">
      <c r="A46" s="11">
        <v>39</v>
      </c>
      <c r="B46" s="63" t="s">
        <v>199</v>
      </c>
      <c r="C46" s="69"/>
      <c r="D46" s="71"/>
      <c r="E46" s="13" t="s">
        <v>102</v>
      </c>
      <c r="F46" s="13" t="s">
        <v>115</v>
      </c>
      <c r="G46" s="14" t="s">
        <v>114</v>
      </c>
      <c r="H46" s="47" t="str">
        <f t="shared" si="0"/>
        <v>f 2c 0,4 кВ</v>
      </c>
      <c r="I46" s="11">
        <v>1118</v>
      </c>
      <c r="J46" s="14" t="s">
        <v>116</v>
      </c>
      <c r="K46" s="14" t="s">
        <v>120</v>
      </c>
      <c r="L46" s="14"/>
      <c r="M46" s="11">
        <v>0.1</v>
      </c>
      <c r="N46" s="13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J12"/>
  <sheetViews>
    <sheetView zoomScale="85" zoomScaleNormal="85" workbookViewId="0">
      <selection activeCell="H13" sqref="H13"/>
    </sheetView>
  </sheetViews>
  <sheetFormatPr defaultRowHeight="14.5" x14ac:dyDescent="0.35"/>
  <cols>
    <col min="2" max="2" width="24.26953125" customWidth="1"/>
    <col min="3" max="3" width="15.1796875" customWidth="1"/>
    <col min="4" max="4" width="15.453125" customWidth="1"/>
    <col min="5" max="5" width="13.7265625" bestFit="1" customWidth="1"/>
    <col min="6" max="6" width="24" customWidth="1"/>
    <col min="7" max="7" width="36" customWidth="1"/>
    <col min="8" max="8" width="6.453125" customWidth="1"/>
    <col min="9" max="9" width="11.54296875" customWidth="1"/>
  </cols>
  <sheetData>
    <row r="1" spans="1:10" ht="80.25" customHeight="1" x14ac:dyDescent="0.35">
      <c r="A1" s="21" t="s">
        <v>29</v>
      </c>
      <c r="B1" s="21" t="s">
        <v>30</v>
      </c>
      <c r="C1" s="21" t="s">
        <v>31</v>
      </c>
      <c r="D1" s="21" t="s">
        <v>63</v>
      </c>
      <c r="E1" s="22" t="s">
        <v>133</v>
      </c>
      <c r="F1" s="21" t="s">
        <v>48</v>
      </c>
      <c r="G1" s="21" t="s">
        <v>32</v>
      </c>
      <c r="H1" s="21" t="s">
        <v>5</v>
      </c>
      <c r="I1" s="21" t="s">
        <v>43</v>
      </c>
      <c r="J1" s="22" t="s">
        <v>58</v>
      </c>
    </row>
    <row r="2" spans="1:10" x14ac:dyDescent="0.35">
      <c r="A2" s="75">
        <v>1</v>
      </c>
      <c r="B2" s="76" t="s">
        <v>131</v>
      </c>
      <c r="C2" s="59"/>
      <c r="D2" s="11" t="s">
        <v>125</v>
      </c>
      <c r="E2" s="19" t="s">
        <v>109</v>
      </c>
      <c r="F2" s="19" t="s">
        <v>87</v>
      </c>
      <c r="G2" s="48" t="str">
        <f>IF(ТУ[[#This Row],[Тип управления]]="ТУ В",CONCATENATE(F2," ",E2),IF(ТУ[[#This Row],[Тип управления]]="Квитирование РЗА",CONCATENATE(F2," ",E2), ТУ[[#This Row],[Тип управления]]))</f>
        <v>Вывод АВР</v>
      </c>
      <c r="H2" s="11">
        <v>4500</v>
      </c>
      <c r="I2" s="20" t="s">
        <v>123</v>
      </c>
      <c r="J2" s="49"/>
    </row>
    <row r="3" spans="1:10" x14ac:dyDescent="0.35">
      <c r="A3" s="75">
        <v>2</v>
      </c>
      <c r="B3" s="76" t="s">
        <v>131</v>
      </c>
      <c r="C3" s="10"/>
      <c r="D3" s="11" t="s">
        <v>126</v>
      </c>
      <c r="E3" s="19" t="s">
        <v>65</v>
      </c>
      <c r="F3" s="19" t="s">
        <v>88</v>
      </c>
      <c r="G3" s="48" t="str">
        <f>IF(ТУ[[#This Row],[Тип управления]]="ТУ В",CONCATENATE(F3," ",E3),IF(ТУ[[#This Row],[Тип управления]]="Квитирование РЗА",CONCATENATE(F3," ",E3), ТУ[[#This Row],[Тип управления]]))</f>
        <v>ТУ В яч.5</v>
      </c>
      <c r="H3" s="11">
        <v>4505</v>
      </c>
      <c r="I3" s="20" t="s">
        <v>123</v>
      </c>
      <c r="J3" s="49"/>
    </row>
    <row r="4" spans="1:10" x14ac:dyDescent="0.35">
      <c r="A4" s="75">
        <v>3</v>
      </c>
      <c r="B4" s="76" t="s">
        <v>131</v>
      </c>
      <c r="C4" s="10"/>
      <c r="D4" s="77" t="s">
        <v>127</v>
      </c>
      <c r="E4" s="19" t="s">
        <v>67</v>
      </c>
      <c r="F4" s="19" t="s">
        <v>88</v>
      </c>
      <c r="G4" s="48" t="str">
        <f>IF(ТУ[[#This Row],[Тип управления]]="ТУ В",CONCATENATE(F4," ",E4),IF(ТУ[[#This Row],[Тип управления]]="Квитирование РЗА",CONCATENATE(F4," ",E4), ТУ[[#This Row],[Тип управления]]))</f>
        <v>ТУ В яч.8</v>
      </c>
      <c r="H4" s="11">
        <v>4508</v>
      </c>
      <c r="I4" s="20" t="s">
        <v>123</v>
      </c>
      <c r="J4" s="49"/>
    </row>
    <row r="5" spans="1:10" x14ac:dyDescent="0.35">
      <c r="A5" s="75">
        <v>4</v>
      </c>
      <c r="B5" s="76" t="s">
        <v>131</v>
      </c>
      <c r="C5" s="10"/>
      <c r="D5" s="77" t="s">
        <v>128</v>
      </c>
      <c r="E5" s="19" t="s">
        <v>170</v>
      </c>
      <c r="F5" s="19" t="s">
        <v>88</v>
      </c>
      <c r="G5" s="48" t="str">
        <f>IF(ТУ[[#This Row],[Тип управления]]="ТУ В",CONCATENATE(F5," ",E5),IF(ТУ[[#This Row],[Тип управления]]="Квитирование РЗА",CONCATENATE(F5," ",E5), ТУ[[#This Row],[Тип управления]]))</f>
        <v>ТУ В яч.10</v>
      </c>
      <c r="H5" s="11">
        <v>4510</v>
      </c>
      <c r="I5" s="20" t="s">
        <v>123</v>
      </c>
      <c r="J5" s="49"/>
    </row>
    <row r="6" spans="1:10" x14ac:dyDescent="0.35">
      <c r="A6" s="75">
        <v>5</v>
      </c>
      <c r="B6" s="78" t="s">
        <v>96</v>
      </c>
      <c r="C6" s="10">
        <v>1</v>
      </c>
      <c r="D6" s="77" t="s">
        <v>121</v>
      </c>
      <c r="E6" s="19" t="s">
        <v>35</v>
      </c>
      <c r="F6" s="19" t="s">
        <v>122</v>
      </c>
      <c r="G6" s="74" t="str">
        <f>IF(ТУ[[#This Row],[Тип управления]]="ТУ В",CONCATENATE(F6," ",E6),IF(ТУ[[#This Row],[Тип управления]]="Квитирование РЗА",CONCATENATE(F6," ",E6), ТУ[[#This Row],[Тип управления]]))</f>
        <v>Квитирование РЗА яч.1</v>
      </c>
      <c r="H6" s="11">
        <v>4601</v>
      </c>
      <c r="I6" s="20" t="s">
        <v>123</v>
      </c>
      <c r="J6" s="79"/>
    </row>
    <row r="7" spans="1:10" x14ac:dyDescent="0.35">
      <c r="A7" s="75">
        <v>6</v>
      </c>
      <c r="B7" s="78" t="s">
        <v>96</v>
      </c>
      <c r="C7" s="10">
        <v>2</v>
      </c>
      <c r="D7" s="77" t="s">
        <v>121</v>
      </c>
      <c r="E7" s="19" t="s">
        <v>36</v>
      </c>
      <c r="F7" s="19" t="s">
        <v>122</v>
      </c>
      <c r="G7" s="74" t="str">
        <f>IF(ТУ[[#This Row],[Тип управления]]="ТУ В",CONCATENATE(F7," ",E7),IF(ТУ[[#This Row],[Тип управления]]="Квитирование РЗА",CONCATENATE(F7," ",E7), ТУ[[#This Row],[Тип управления]]))</f>
        <v>Квитирование РЗА яч.2</v>
      </c>
      <c r="H7" s="11">
        <v>4602</v>
      </c>
      <c r="I7" s="20" t="s">
        <v>123</v>
      </c>
      <c r="J7" s="79"/>
    </row>
    <row r="8" spans="1:10" x14ac:dyDescent="0.35">
      <c r="A8" s="75">
        <v>7</v>
      </c>
      <c r="B8" s="78" t="s">
        <v>96</v>
      </c>
      <c r="C8" s="10">
        <v>3</v>
      </c>
      <c r="D8" s="77" t="s">
        <v>121</v>
      </c>
      <c r="E8" s="19" t="s">
        <v>160</v>
      </c>
      <c r="F8" s="19" t="s">
        <v>122</v>
      </c>
      <c r="G8" s="74" t="str">
        <f>IF(ТУ[[#This Row],[Тип управления]]="ТУ В",CONCATENATE(F8," ",E8),IF(ТУ[[#This Row],[Тип управления]]="Квитирование РЗА",CONCATENATE(F8," ",E8), ТУ[[#This Row],[Тип управления]]))</f>
        <v>Квитирование РЗА яч.3</v>
      </c>
      <c r="H8" s="11">
        <v>4603</v>
      </c>
      <c r="I8" s="20" t="s">
        <v>123</v>
      </c>
      <c r="J8" s="79"/>
    </row>
    <row r="9" spans="1:10" x14ac:dyDescent="0.35">
      <c r="A9" s="75">
        <v>8</v>
      </c>
      <c r="B9" s="78" t="s">
        <v>96</v>
      </c>
      <c r="C9" s="10">
        <v>8</v>
      </c>
      <c r="D9" s="77" t="s">
        <v>121</v>
      </c>
      <c r="E9" s="19" t="s">
        <v>67</v>
      </c>
      <c r="F9" s="19" t="s">
        <v>122</v>
      </c>
      <c r="G9" s="74" t="str">
        <f>IF(ТУ[[#This Row],[Тип управления]]="ТУ В",CONCATENATE(F9," ",E9),IF(ТУ[[#This Row],[Тип управления]]="Квитирование РЗА",CONCATENATE(F9," ",E9), ТУ[[#This Row],[Тип управления]]))</f>
        <v>Квитирование РЗА яч.8</v>
      </c>
      <c r="H9" s="11">
        <v>4608</v>
      </c>
      <c r="I9" s="20" t="s">
        <v>123</v>
      </c>
      <c r="J9" s="79"/>
    </row>
    <row r="10" spans="1:10" x14ac:dyDescent="0.35">
      <c r="A10" s="75">
        <v>9</v>
      </c>
      <c r="B10" s="78" t="s">
        <v>96</v>
      </c>
      <c r="C10" s="10">
        <v>12</v>
      </c>
      <c r="D10" s="77" t="s">
        <v>121</v>
      </c>
      <c r="E10" s="19" t="s">
        <v>70</v>
      </c>
      <c r="F10" s="19" t="s">
        <v>122</v>
      </c>
      <c r="G10" s="74" t="str">
        <f>IF(ТУ[[#This Row],[Тип управления]]="ТУ В",CONCATENATE(F10," ",E10),IF(ТУ[[#This Row],[Тип управления]]="Квитирование РЗА",CONCATENATE(F10," ",E10), ТУ[[#This Row],[Тип управления]]))</f>
        <v>Квитирование РЗА яч.12</v>
      </c>
      <c r="H10" s="11">
        <v>4612</v>
      </c>
      <c r="I10" s="20" t="s">
        <v>123</v>
      </c>
      <c r="J10" s="79"/>
    </row>
    <row r="11" spans="1:10" x14ac:dyDescent="0.35">
      <c r="A11" s="75">
        <v>8</v>
      </c>
      <c r="B11" s="78" t="s">
        <v>96</v>
      </c>
      <c r="C11" s="10">
        <v>13</v>
      </c>
      <c r="D11" s="77" t="s">
        <v>121</v>
      </c>
      <c r="E11" s="19" t="s">
        <v>141</v>
      </c>
      <c r="F11" s="19" t="s">
        <v>122</v>
      </c>
      <c r="G11" s="74" t="str">
        <f>IF(ТУ[[#This Row],[Тип управления]]="ТУ В",CONCATENATE(F11," ",E11),IF(ТУ[[#This Row],[Тип управления]]="Квитирование РЗА",CONCATENATE(F11," ",E11), ТУ[[#This Row],[Тип управления]]))</f>
        <v>Квитирование РЗА яч.13</v>
      </c>
      <c r="H11" s="11">
        <v>4613</v>
      </c>
      <c r="I11" s="20" t="s">
        <v>123</v>
      </c>
      <c r="J11" s="79"/>
    </row>
    <row r="12" spans="1:10" x14ac:dyDescent="0.35">
      <c r="A12" s="75">
        <v>9</v>
      </c>
      <c r="B12" s="78" t="s">
        <v>96</v>
      </c>
      <c r="C12" s="10">
        <v>14</v>
      </c>
      <c r="D12" s="77" t="s">
        <v>121</v>
      </c>
      <c r="E12" s="19" t="s">
        <v>142</v>
      </c>
      <c r="F12" s="19" t="s">
        <v>122</v>
      </c>
      <c r="G12" s="74" t="str">
        <f>IF(ТУ[[#This Row],[Тип управления]]="ТУ В",CONCATENATE(F12," ",E12),IF(ТУ[[#This Row],[Тип управления]]="Квитирование РЗА",CONCATENATE(F12," ",E12), ТУ[[#This Row],[Тип управления]]))</f>
        <v>Квитирование РЗА яч.14</v>
      </c>
      <c r="H12" s="11">
        <v>4614</v>
      </c>
      <c r="I12" s="20" t="s">
        <v>123</v>
      </c>
      <c r="J12" s="79"/>
    </row>
  </sheetData>
  <dataValidations count="1">
    <dataValidation type="list" allowBlank="1" showInputMessage="1" showErrorMessage="1" sqref="F2:F12" xr:uid="{00000000-0002-0000-0300-000000000000}">
      <formula1>"Вывод АВР,ТУ В,Квитирование РЗА"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Оборудование</vt:lpstr>
      <vt:lpstr>ТС</vt:lpstr>
      <vt:lpstr>ТИ</vt:lpstr>
      <vt:lpstr>ТУ</vt:lpstr>
      <vt:lpstr>ШкафыНаименование</vt:lpstr>
      <vt:lpstr>ЯчейкиНазначение</vt:lpstr>
      <vt:lpstr>ЯчейкиНаименование</vt:lpstr>
      <vt:lpstr>ЯчейкиНомер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2022-05-05T08:56:29Z</dcterms:created>
  <dcterms:modified xsi:type="dcterms:W3CDTF">2022-06-15T21:00:18Z</dcterms:modified>
</cp:coreProperties>
</file>